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NI PUNYA\KEUANGAN\HONOR NGAJAR\"/>
    </mc:Choice>
  </mc:AlternateContent>
  <xr:revisionPtr revIDLastSave="0" documentId="13_ncr:1_{8D51AD32-0777-4DAF-A8FD-8207F3EB56A1}" xr6:coauthVersionLast="43" xr6:coauthVersionMax="47" xr10:uidLastSave="{00000000-0000-0000-0000-000000000000}"/>
  <bookViews>
    <workbookView xWindow="-120" yWindow="-120" windowWidth="20730" windowHeight="11160" xr2:uid="{3E7E1FD2-6AAD-4D77-A9B6-29DF3A68EF91}"/>
  </bookViews>
  <sheets>
    <sheet name="Tetap" sheetId="1" r:id="rId1"/>
    <sheet name="Lu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02" i="1" l="1"/>
  <c r="G301" i="1"/>
  <c r="G300" i="1"/>
  <c r="G287" i="1"/>
  <c r="G286" i="1"/>
  <c r="G285" i="1"/>
  <c r="K72" i="1" l="1"/>
  <c r="F72" i="1" s="1"/>
  <c r="G72" i="1" s="1"/>
  <c r="K71" i="1"/>
  <c r="F71" i="1" s="1"/>
  <c r="G71" i="1" s="1"/>
  <c r="K70" i="1"/>
  <c r="F70" i="1" s="1"/>
  <c r="G70" i="1" s="1"/>
  <c r="K69" i="1"/>
  <c r="F69" i="1" s="1"/>
  <c r="G69" i="1" s="1"/>
  <c r="K68" i="1"/>
  <c r="F68" i="1" s="1"/>
  <c r="G68" i="1" s="1"/>
  <c r="K67" i="1"/>
  <c r="F67" i="1" s="1"/>
  <c r="G67" i="1" s="1"/>
  <c r="K66" i="1"/>
  <c r="F66" i="1" s="1"/>
  <c r="G66" i="1" s="1"/>
  <c r="K65" i="1"/>
  <c r="F65" i="1" s="1"/>
  <c r="G65" i="1" s="1"/>
  <c r="K64" i="1"/>
  <c r="F64" i="1" s="1"/>
  <c r="G64" i="1" s="1"/>
  <c r="K63" i="1"/>
  <c r="F63" i="1" s="1"/>
  <c r="G63" i="1" s="1"/>
  <c r="K62" i="1"/>
  <c r="F62" i="1" s="1"/>
  <c r="G62" i="1" s="1"/>
  <c r="K61" i="1"/>
  <c r="F61" i="1" s="1"/>
  <c r="G61" i="1" s="1"/>
  <c r="K60" i="1"/>
  <c r="F60" i="1" s="1"/>
  <c r="G60" i="1" s="1"/>
  <c r="K59" i="1"/>
  <c r="F59" i="1" s="1"/>
  <c r="G59" i="1" s="1"/>
  <c r="K58" i="1"/>
  <c r="F58" i="1" s="1"/>
  <c r="G58" i="1" s="1"/>
  <c r="K57" i="1"/>
  <c r="F57" i="1" s="1"/>
  <c r="G57" i="1" s="1"/>
  <c r="K56" i="1"/>
  <c r="F56" i="1" s="1"/>
  <c r="G56" i="1" s="1"/>
  <c r="K55" i="1"/>
  <c r="F55" i="1" s="1"/>
  <c r="G55" i="1" s="1"/>
  <c r="K54" i="1"/>
  <c r="F54" i="1" s="1"/>
  <c r="G54" i="1" s="1"/>
  <c r="K53" i="1"/>
  <c r="F53" i="1" s="1"/>
  <c r="G53" i="1" s="1"/>
  <c r="K52" i="1"/>
  <c r="F52" i="1" s="1"/>
  <c r="G52" i="1" s="1"/>
  <c r="K51" i="1"/>
  <c r="F51" i="1" s="1"/>
  <c r="G51" i="1" s="1"/>
  <c r="K50" i="1"/>
  <c r="F50" i="1" s="1"/>
  <c r="G50" i="1" s="1"/>
  <c r="K49" i="1"/>
  <c r="F49" i="1" s="1"/>
  <c r="G49" i="1" s="1"/>
  <c r="K48" i="1"/>
  <c r="F48" i="1" s="1"/>
  <c r="G48" i="1" s="1"/>
  <c r="K47" i="1"/>
  <c r="F47" i="1" s="1"/>
  <c r="G47" i="1" s="1"/>
  <c r="K46" i="1"/>
  <c r="F46" i="1" s="1"/>
  <c r="G46" i="1" s="1"/>
  <c r="K45" i="1"/>
  <c r="F45" i="1" s="1"/>
  <c r="G45" i="1" s="1"/>
  <c r="K44" i="1"/>
  <c r="F44" i="1" s="1"/>
  <c r="G44" i="1" s="1"/>
  <c r="K43" i="1"/>
  <c r="F43" i="1" s="1"/>
  <c r="G43" i="1" s="1"/>
  <c r="K42" i="1"/>
  <c r="F42" i="1" s="1"/>
  <c r="G42" i="1" s="1"/>
  <c r="K41" i="1"/>
  <c r="F41" i="1" s="1"/>
  <c r="G41" i="1" s="1"/>
  <c r="K40" i="1"/>
  <c r="F40" i="1" s="1"/>
  <c r="G40" i="1" s="1"/>
  <c r="K238" i="1"/>
  <c r="F238" i="1" s="1"/>
  <c r="G238" i="1" s="1"/>
  <c r="K237" i="1"/>
  <c r="F237" i="1" s="1"/>
  <c r="G237" i="1" s="1"/>
  <c r="K236" i="1"/>
  <c r="F236" i="1" s="1"/>
  <c r="G236" i="1" s="1"/>
  <c r="K235" i="1"/>
  <c r="F235" i="1" s="1"/>
  <c r="G235" i="1" s="1"/>
  <c r="K234" i="1"/>
  <c r="F234" i="1" s="1"/>
  <c r="G234" i="1" s="1"/>
  <c r="K233" i="1"/>
  <c r="F233" i="1" s="1"/>
  <c r="G233" i="1" s="1"/>
  <c r="K232" i="1"/>
  <c r="F232" i="1" s="1"/>
  <c r="G232" i="1" s="1"/>
  <c r="K231" i="1"/>
  <c r="F231" i="1" s="1"/>
  <c r="G231" i="1" s="1"/>
  <c r="K230" i="1"/>
  <c r="F230" i="1" s="1"/>
  <c r="G230" i="1" s="1"/>
  <c r="K229" i="1"/>
  <c r="F229" i="1" s="1"/>
  <c r="G229" i="1" s="1"/>
  <c r="K228" i="1"/>
  <c r="F228" i="1" s="1"/>
  <c r="G228" i="1" s="1"/>
  <c r="K227" i="1"/>
  <c r="F227" i="1" s="1"/>
  <c r="G227" i="1" s="1"/>
  <c r="K226" i="1"/>
  <c r="F226" i="1" s="1"/>
  <c r="G226" i="1" s="1"/>
  <c r="K225" i="1"/>
  <c r="F225" i="1" s="1"/>
  <c r="G225" i="1" s="1"/>
  <c r="K224" i="1"/>
  <c r="F224" i="1" s="1"/>
  <c r="G224" i="1" s="1"/>
  <c r="K223" i="1"/>
  <c r="F223" i="1" s="1"/>
  <c r="G223" i="1" s="1"/>
  <c r="K222" i="1"/>
  <c r="F222" i="1" s="1"/>
  <c r="G222" i="1" s="1"/>
  <c r="K221" i="1"/>
  <c r="F221" i="1" s="1"/>
  <c r="G221" i="1" s="1"/>
  <c r="K220" i="1"/>
  <c r="F220" i="1" s="1"/>
  <c r="G220" i="1" s="1"/>
  <c r="K159" i="1"/>
  <c r="F159" i="1" s="1"/>
  <c r="G159" i="1" s="1"/>
  <c r="K158" i="1"/>
  <c r="F158" i="1" s="1"/>
  <c r="G158" i="1" s="1"/>
  <c r="K157" i="1"/>
  <c r="F157" i="1" s="1"/>
  <c r="G157" i="1" s="1"/>
  <c r="K156" i="1"/>
  <c r="F156" i="1" s="1"/>
  <c r="G156" i="1" s="1"/>
  <c r="K155" i="1"/>
  <c r="F155" i="1" s="1"/>
  <c r="G155" i="1" s="1"/>
  <c r="K154" i="1"/>
  <c r="F154" i="1" s="1"/>
  <c r="G154" i="1" s="1"/>
  <c r="K153" i="1"/>
  <c r="F153" i="1" s="1"/>
  <c r="G153" i="1" s="1"/>
  <c r="K152" i="1"/>
  <c r="F152" i="1"/>
  <c r="G152" i="1" s="1"/>
  <c r="K151" i="1"/>
  <c r="F151" i="1" s="1"/>
  <c r="G151" i="1" s="1"/>
  <c r="K150" i="1"/>
  <c r="F150" i="1" s="1"/>
  <c r="G150" i="1" s="1"/>
  <c r="K149" i="1"/>
  <c r="F149" i="1" s="1"/>
  <c r="G149" i="1" s="1"/>
  <c r="K148" i="1"/>
  <c r="F148" i="1" s="1"/>
  <c r="G148" i="1" s="1"/>
  <c r="K147" i="1"/>
  <c r="F147" i="1" s="1"/>
  <c r="G147" i="1" s="1"/>
  <c r="K146" i="1"/>
  <c r="F146" i="1" s="1"/>
  <c r="G146" i="1" s="1"/>
  <c r="K145" i="1"/>
  <c r="F145" i="1" s="1"/>
  <c r="G145" i="1" s="1"/>
  <c r="K144" i="1"/>
  <c r="F144" i="1" s="1"/>
  <c r="G144" i="1" s="1"/>
  <c r="K143" i="1"/>
  <c r="F143" i="1" s="1"/>
  <c r="G143" i="1" s="1"/>
  <c r="K142" i="1"/>
  <c r="F142" i="1" s="1"/>
  <c r="G142" i="1" s="1"/>
  <c r="K406" i="1"/>
  <c r="F406" i="1" s="1"/>
  <c r="G406" i="1" s="1"/>
  <c r="K405" i="1"/>
  <c r="F405" i="1" s="1"/>
  <c r="G405" i="1" s="1"/>
  <c r="K404" i="1"/>
  <c r="F404" i="1" s="1"/>
  <c r="G404" i="1" s="1"/>
  <c r="K403" i="1"/>
  <c r="F403" i="1" s="1"/>
  <c r="G403" i="1" s="1"/>
  <c r="K402" i="1"/>
  <c r="F402" i="1" s="1"/>
  <c r="G402" i="1" s="1"/>
  <c r="K401" i="1"/>
  <c r="F401" i="1" s="1"/>
  <c r="G401" i="1" s="1"/>
  <c r="K400" i="1"/>
  <c r="F400" i="1" s="1"/>
  <c r="G400" i="1" s="1"/>
  <c r="K399" i="1"/>
  <c r="F399" i="1" s="1"/>
  <c r="G399" i="1" s="1"/>
  <c r="K398" i="1"/>
  <c r="F398" i="1" s="1"/>
  <c r="G398" i="1" s="1"/>
  <c r="K397" i="1"/>
  <c r="F397" i="1" s="1"/>
  <c r="G397" i="1" s="1"/>
  <c r="K396" i="1"/>
  <c r="F396" i="1" s="1"/>
  <c r="G396" i="1" s="1"/>
  <c r="K395" i="1"/>
  <c r="F395" i="1" s="1"/>
  <c r="G395" i="1" s="1"/>
  <c r="K394" i="1"/>
  <c r="F394" i="1" s="1"/>
  <c r="G394" i="1" s="1"/>
  <c r="K393" i="1"/>
  <c r="F393" i="1" s="1"/>
  <c r="G393" i="1" s="1"/>
  <c r="K392" i="1"/>
  <c r="F392" i="1" s="1"/>
  <c r="G392" i="1" s="1"/>
  <c r="K391" i="1"/>
  <c r="F391" i="1" s="1"/>
  <c r="G391" i="1" s="1"/>
  <c r="K390" i="1"/>
  <c r="F390" i="1" s="1"/>
  <c r="G390" i="1" s="1"/>
  <c r="K388" i="1"/>
  <c r="F388" i="1" s="1"/>
  <c r="F387" i="1"/>
  <c r="K386" i="1"/>
  <c r="F386" i="1" s="1"/>
  <c r="G386" i="1" s="1"/>
  <c r="K385" i="1"/>
  <c r="F385" i="1" s="1"/>
  <c r="F384" i="1"/>
  <c r="K383" i="1"/>
  <c r="F383" i="1" s="1"/>
  <c r="G383" i="1" s="1"/>
  <c r="K364" i="1"/>
  <c r="F364" i="1" s="1"/>
  <c r="G364" i="1" s="1"/>
  <c r="K363" i="1"/>
  <c r="F363" i="1" s="1"/>
  <c r="G363" i="1" s="1"/>
  <c r="K362" i="1"/>
  <c r="F362" i="1" s="1"/>
  <c r="G362" i="1" s="1"/>
  <c r="K361" i="1"/>
  <c r="F361" i="1" s="1"/>
  <c r="G361" i="1" s="1"/>
  <c r="K360" i="1"/>
  <c r="F360" i="1" s="1"/>
  <c r="G360" i="1" s="1"/>
  <c r="K359" i="1"/>
  <c r="F359" i="1" s="1"/>
  <c r="G359" i="1" s="1"/>
  <c r="K358" i="1"/>
  <c r="F358" i="1" s="1"/>
  <c r="G358" i="1" s="1"/>
  <c r="K357" i="1"/>
  <c r="F357" i="1" s="1"/>
  <c r="G357" i="1" s="1"/>
  <c r="K356" i="1"/>
  <c r="F356" i="1" s="1"/>
  <c r="G356" i="1" s="1"/>
  <c r="K355" i="1"/>
  <c r="F355" i="1" s="1"/>
  <c r="G355" i="1" s="1"/>
  <c r="K354" i="1"/>
  <c r="F354" i="1" s="1"/>
  <c r="G354" i="1" s="1"/>
  <c r="K353" i="1"/>
  <c r="F353" i="1" s="1"/>
  <c r="G353" i="1" s="1"/>
  <c r="K352" i="1"/>
  <c r="F352" i="1" s="1"/>
  <c r="G352" i="1" s="1"/>
  <c r="K351" i="1"/>
  <c r="F351" i="1" s="1"/>
  <c r="G351" i="1" s="1"/>
  <c r="K350" i="1"/>
  <c r="F350" i="1" s="1"/>
  <c r="G350" i="1" s="1"/>
  <c r="K348" i="1"/>
  <c r="F348" i="1" s="1"/>
  <c r="G348" i="1" s="1"/>
  <c r="K347" i="1"/>
  <c r="F347" i="1" s="1"/>
  <c r="G347" i="1" s="1"/>
  <c r="K346" i="1"/>
  <c r="F346" i="1" s="1"/>
  <c r="G346" i="1" s="1"/>
  <c r="K345" i="1"/>
  <c r="F345" i="1" s="1"/>
  <c r="G345" i="1" s="1"/>
  <c r="K344" i="1"/>
  <c r="F344" i="1" s="1"/>
  <c r="G344" i="1" s="1"/>
  <c r="K343" i="1"/>
  <c r="F343" i="1" s="1"/>
  <c r="G343" i="1" s="1"/>
  <c r="K342" i="1"/>
  <c r="F342" i="1" s="1"/>
  <c r="G342" i="1" s="1"/>
  <c r="K341" i="1"/>
  <c r="F341" i="1" s="1"/>
  <c r="G341" i="1" s="1"/>
  <c r="K340" i="1"/>
  <c r="F340" i="1" s="1"/>
  <c r="G340" i="1" s="1"/>
  <c r="K339" i="1"/>
  <c r="F339" i="1" s="1"/>
  <c r="G339" i="1" s="1"/>
  <c r="K338" i="1"/>
  <c r="F338" i="1" s="1"/>
  <c r="G338" i="1" s="1"/>
  <c r="K337" i="1"/>
  <c r="F337" i="1" s="1"/>
  <c r="G337" i="1" s="1"/>
  <c r="K336" i="1"/>
  <c r="F336" i="1" s="1"/>
  <c r="G336" i="1" s="1"/>
  <c r="K335" i="1"/>
  <c r="F335" i="1" s="1"/>
  <c r="G335" i="1" s="1"/>
  <c r="K334" i="1"/>
  <c r="F334" i="1" s="1"/>
  <c r="G334" i="1" s="1"/>
  <c r="K333" i="1"/>
  <c r="F333" i="1" s="1"/>
  <c r="G333" i="1" s="1"/>
  <c r="K332" i="1"/>
  <c r="F332" i="1" s="1"/>
  <c r="G332" i="1" s="1"/>
  <c r="K331" i="1"/>
  <c r="F331" i="1" s="1"/>
  <c r="G331" i="1" s="1"/>
  <c r="K330" i="1"/>
  <c r="F330" i="1" s="1"/>
  <c r="G330" i="1" s="1"/>
  <c r="K329" i="1"/>
  <c r="F329" i="1" s="1"/>
  <c r="G329" i="1" s="1"/>
  <c r="K190" i="1"/>
  <c r="F190" i="1" s="1"/>
  <c r="G190" i="1" s="1"/>
  <c r="K191" i="1"/>
  <c r="F191" i="1" s="1"/>
  <c r="G191" i="1" s="1"/>
  <c r="K164" i="1"/>
  <c r="F164" i="1" s="1"/>
  <c r="G164" i="1" s="1"/>
  <c r="K140" i="1"/>
  <c r="F140" i="1" s="1"/>
  <c r="G140" i="1" s="1"/>
  <c r="K139" i="1"/>
  <c r="F139" i="1" s="1"/>
  <c r="G139" i="1" s="1"/>
  <c r="K138" i="1"/>
  <c r="F138" i="1" s="1"/>
  <c r="G138" i="1" s="1"/>
  <c r="K137" i="1"/>
  <c r="F137" i="1" s="1"/>
  <c r="G137" i="1" s="1"/>
  <c r="K136" i="1"/>
  <c r="F136" i="1" s="1"/>
  <c r="G136" i="1" s="1"/>
  <c r="K135" i="1"/>
  <c r="F135" i="1" s="1"/>
  <c r="G135" i="1" s="1"/>
  <c r="K134" i="1"/>
  <c r="F134" i="1" s="1"/>
  <c r="G134" i="1" s="1"/>
  <c r="K133" i="1"/>
  <c r="F133" i="1" s="1"/>
  <c r="G133" i="1" s="1"/>
  <c r="K132" i="1"/>
  <c r="F132" i="1" s="1"/>
  <c r="G132" i="1" s="1"/>
  <c r="K131" i="1"/>
  <c r="F131" i="1" s="1"/>
  <c r="G131" i="1" s="1"/>
  <c r="K130" i="1"/>
  <c r="F130" i="1" s="1"/>
  <c r="G130" i="1" s="1"/>
  <c r="K129" i="1"/>
  <c r="F129" i="1" s="1"/>
  <c r="G129" i="1" s="1"/>
  <c r="K128" i="1"/>
  <c r="F128" i="1" s="1"/>
  <c r="G128" i="1" s="1"/>
  <c r="K127" i="1"/>
  <c r="F127" i="1" s="1"/>
  <c r="G127" i="1" s="1"/>
  <c r="K126" i="1"/>
  <c r="F126" i="1" s="1"/>
  <c r="G126" i="1" s="1"/>
  <c r="K125" i="1"/>
  <c r="K124" i="1"/>
  <c r="F124" i="1" s="1"/>
  <c r="G124" i="1" s="1"/>
  <c r="K122" i="1"/>
  <c r="K121" i="1"/>
  <c r="F121" i="1" s="1"/>
  <c r="G121" i="1" s="1"/>
  <c r="K120" i="1"/>
  <c r="K116" i="1"/>
  <c r="K115" i="1"/>
  <c r="F115" i="1" s="1"/>
  <c r="G115" i="1" s="1"/>
  <c r="K114" i="1"/>
  <c r="K110" i="1"/>
  <c r="K109" i="1"/>
  <c r="F109" i="1" s="1"/>
  <c r="G109" i="1" s="1"/>
  <c r="K108" i="1"/>
  <c r="K105" i="1"/>
  <c r="F105" i="1" s="1"/>
  <c r="G105" i="1" s="1"/>
  <c r="K103" i="1"/>
  <c r="F103" i="1" s="1"/>
  <c r="G103" i="1" s="1"/>
  <c r="K102" i="1"/>
  <c r="F102" i="1" s="1"/>
  <c r="G102" i="1" s="1"/>
  <c r="K101" i="1"/>
  <c r="F101" i="1" s="1"/>
  <c r="G101" i="1" s="1"/>
  <c r="K100" i="1"/>
  <c r="F100" i="1" s="1"/>
  <c r="G100" i="1" s="1"/>
  <c r="K99" i="1"/>
  <c r="F99" i="1" s="1"/>
  <c r="G99" i="1" s="1"/>
  <c r="K98" i="1"/>
  <c r="F98" i="1" s="1"/>
  <c r="G98" i="1" s="1"/>
  <c r="K97" i="1"/>
  <c r="F97" i="1" s="1"/>
  <c r="G97" i="1" s="1"/>
  <c r="K96" i="1"/>
  <c r="F96" i="1" s="1"/>
  <c r="G96" i="1" s="1"/>
  <c r="K95" i="1"/>
  <c r="F95" i="1" s="1"/>
  <c r="G95" i="1" s="1"/>
  <c r="K94" i="1"/>
  <c r="F94" i="1" s="1"/>
  <c r="G94" i="1" s="1"/>
  <c r="K93" i="1"/>
  <c r="F93" i="1" s="1"/>
  <c r="G93" i="1" s="1"/>
  <c r="K92" i="1"/>
  <c r="F92" i="1" s="1"/>
  <c r="G92" i="1" s="1"/>
  <c r="K91" i="1"/>
  <c r="F91" i="1" s="1"/>
  <c r="G91" i="1" s="1"/>
  <c r="K90" i="1"/>
  <c r="F90" i="1" s="1"/>
  <c r="G90" i="1" s="1"/>
  <c r="K89" i="1"/>
  <c r="F89" i="1" s="1"/>
  <c r="G89" i="1" s="1"/>
  <c r="K88" i="1"/>
  <c r="F88" i="1" s="1"/>
  <c r="G88" i="1" s="1"/>
  <c r="K87" i="1"/>
  <c r="F87" i="1" s="1"/>
  <c r="G87" i="1" s="1"/>
  <c r="K86" i="1"/>
  <c r="F86" i="1" s="1"/>
  <c r="G86" i="1" s="1"/>
  <c r="K85" i="1"/>
  <c r="F85" i="1" s="1"/>
  <c r="G85" i="1" s="1"/>
  <c r="K84" i="1"/>
  <c r="F84" i="1" s="1"/>
  <c r="G84" i="1" s="1"/>
  <c r="K83" i="1"/>
  <c r="F83" i="1" s="1"/>
  <c r="G83" i="1" s="1"/>
  <c r="K82" i="1"/>
  <c r="F82" i="1" s="1"/>
  <c r="G82" i="1" s="1"/>
  <c r="K81" i="1"/>
  <c r="F81" i="1" s="1"/>
  <c r="G81" i="1" s="1"/>
  <c r="K80" i="1"/>
  <c r="F80" i="1" s="1"/>
  <c r="G80" i="1" s="1"/>
  <c r="K79" i="1"/>
  <c r="F79" i="1" s="1"/>
  <c r="G79" i="1" s="1"/>
  <c r="K78" i="1"/>
  <c r="F78" i="1" s="1"/>
  <c r="G78" i="1" s="1"/>
  <c r="K77" i="1"/>
  <c r="F77" i="1" s="1"/>
  <c r="G77" i="1" s="1"/>
  <c r="K76" i="1"/>
  <c r="F76" i="1" s="1"/>
  <c r="G76" i="1" s="1"/>
  <c r="K38" i="1"/>
  <c r="F38" i="1" s="1"/>
  <c r="G38" i="1" s="1"/>
  <c r="K37" i="1"/>
  <c r="F37" i="1" s="1"/>
  <c r="G37" i="1" s="1"/>
  <c r="K33" i="1"/>
  <c r="F33" i="1" s="1"/>
  <c r="K32" i="1"/>
  <c r="F32" i="1" s="1"/>
  <c r="G32" i="1" s="1"/>
  <c r="K31" i="1"/>
  <c r="F31" i="1" s="1"/>
  <c r="G31" i="1" s="1"/>
  <c r="K30" i="1"/>
  <c r="F30" i="1" s="1"/>
  <c r="G30" i="1" s="1"/>
  <c r="K29" i="1"/>
  <c r="F29" i="1" s="1"/>
  <c r="G29" i="1" s="1"/>
  <c r="K28" i="1"/>
  <c r="F28" i="1" s="1"/>
  <c r="G28" i="1" s="1"/>
  <c r="K27" i="1"/>
  <c r="F27" i="1" s="1"/>
  <c r="G27" i="1" s="1"/>
  <c r="K26" i="1"/>
  <c r="F26" i="1" s="1"/>
  <c r="G26" i="1" s="1"/>
  <c r="K25" i="1"/>
  <c r="F25" i="1" s="1"/>
  <c r="G25" i="1" s="1"/>
  <c r="K24" i="1"/>
  <c r="F24" i="1" s="1"/>
  <c r="G24" i="1" s="1"/>
  <c r="K23" i="1"/>
  <c r="F23" i="1" s="1"/>
  <c r="G23" i="1" s="1"/>
  <c r="K22" i="1"/>
  <c r="F22" i="1" s="1"/>
  <c r="G22" i="1" s="1"/>
  <c r="K20" i="1"/>
  <c r="F20" i="1" s="1"/>
  <c r="K19" i="1"/>
  <c r="F19" i="1" s="1"/>
  <c r="G19" i="1" s="1"/>
  <c r="K18" i="1"/>
  <c r="F18" i="1" s="1"/>
  <c r="G18" i="1" s="1"/>
  <c r="K16" i="1"/>
  <c r="F16" i="1" s="1"/>
  <c r="G16" i="1" s="1"/>
  <c r="K15" i="1"/>
  <c r="F15" i="1" s="1"/>
  <c r="G15" i="1" s="1"/>
  <c r="K14" i="1"/>
  <c r="F14" i="1" s="1"/>
  <c r="G14" i="1" s="1"/>
  <c r="K13" i="1"/>
  <c r="F13" i="1" s="1"/>
  <c r="G13" i="1" s="1"/>
  <c r="K12" i="1"/>
  <c r="F12" i="1" s="1"/>
  <c r="G12" i="1" s="1"/>
  <c r="K10" i="1"/>
  <c r="F10" i="1" s="1"/>
  <c r="K9" i="1"/>
  <c r="F9" i="1" s="1"/>
  <c r="G9" i="1" s="1"/>
  <c r="K8" i="1"/>
  <c r="F8" i="1" s="1"/>
  <c r="G8" i="1" s="1"/>
  <c r="K80" i="2"/>
  <c r="F80" i="2" s="1"/>
  <c r="G80" i="2" s="1"/>
  <c r="K79" i="2"/>
  <c r="F79" i="2"/>
  <c r="G79" i="2" s="1"/>
  <c r="K83" i="2"/>
  <c r="F83" i="2" s="1"/>
  <c r="G83" i="2" s="1"/>
  <c r="K69" i="2"/>
  <c r="F69" i="2" s="1"/>
  <c r="G69" i="2" s="1"/>
  <c r="K68" i="2"/>
  <c r="F68" i="2" s="1"/>
  <c r="G68" i="2" s="1"/>
  <c r="K19" i="2"/>
  <c r="F19" i="2" s="1"/>
  <c r="G19" i="2" s="1"/>
  <c r="K25" i="2"/>
  <c r="F25" i="2" s="1"/>
  <c r="G25" i="2" s="1"/>
  <c r="K22" i="2"/>
  <c r="F22" i="2" s="1"/>
  <c r="G22" i="2" s="1"/>
  <c r="K87" i="2"/>
  <c r="F87" i="2" s="1"/>
  <c r="G87" i="2" s="1"/>
  <c r="K86" i="2"/>
  <c r="F86" i="2" s="1"/>
  <c r="G86" i="2" s="1"/>
  <c r="K33" i="2"/>
  <c r="F33" i="2" s="1"/>
  <c r="G33" i="2" s="1"/>
  <c r="K32" i="2"/>
  <c r="F32" i="2" s="1"/>
  <c r="G32" i="2" s="1"/>
  <c r="K31" i="2"/>
  <c r="F31" i="2" s="1"/>
  <c r="G31" i="2" s="1"/>
  <c r="K30" i="2"/>
  <c r="F30" i="2" s="1"/>
  <c r="G30" i="2" s="1"/>
  <c r="K29" i="2"/>
  <c r="F29" i="2" s="1"/>
  <c r="G29" i="2" s="1"/>
  <c r="K28" i="2"/>
  <c r="F28" i="2" s="1"/>
  <c r="G28" i="2" s="1"/>
  <c r="K12" i="2"/>
  <c r="F12" i="2" s="1"/>
  <c r="G12" i="2" s="1"/>
  <c r="K11" i="2"/>
  <c r="F11" i="2" s="1"/>
  <c r="G11" i="2" s="1"/>
  <c r="K63" i="2"/>
  <c r="F63" i="2" s="1"/>
  <c r="G63" i="2" s="1"/>
  <c r="K62" i="2"/>
  <c r="F62" i="2" s="1"/>
  <c r="G62" i="2" s="1"/>
  <c r="K61" i="2"/>
  <c r="F61" i="2" s="1"/>
  <c r="G61" i="2" s="1"/>
  <c r="K60" i="2"/>
  <c r="F60" i="2" s="1"/>
  <c r="G60" i="2" s="1"/>
  <c r="K59" i="2"/>
  <c r="F59" i="2" s="1"/>
  <c r="G59" i="2" s="1"/>
  <c r="K58" i="2"/>
  <c r="F58" i="2" s="1"/>
  <c r="G58" i="2" s="1"/>
  <c r="K56" i="2"/>
  <c r="F56" i="2" s="1"/>
  <c r="G56" i="2" s="1"/>
  <c r="K55" i="2"/>
  <c r="F55" i="2" s="1"/>
  <c r="G55" i="2" s="1"/>
  <c r="K54" i="2"/>
  <c r="F54" i="2" s="1"/>
  <c r="G54" i="2" s="1"/>
  <c r="K53" i="2"/>
  <c r="F53" i="2" s="1"/>
  <c r="G53" i="2" s="1"/>
  <c r="K52" i="2"/>
  <c r="F52" i="2" s="1"/>
  <c r="G52" i="2" s="1"/>
  <c r="K51" i="2"/>
  <c r="F51" i="2" s="1"/>
  <c r="G51" i="2" s="1"/>
  <c r="K217" i="1"/>
  <c r="F217" i="1" s="1"/>
  <c r="G217" i="1" s="1"/>
  <c r="K215" i="1"/>
  <c r="F215" i="1" s="1"/>
  <c r="G215" i="1" s="1"/>
  <c r="K214" i="1"/>
  <c r="F214" i="1" s="1"/>
  <c r="G214" i="1" s="1"/>
  <c r="K213" i="1"/>
  <c r="F213" i="1" s="1"/>
  <c r="G213" i="1" s="1"/>
  <c r="K212" i="1"/>
  <c r="F212" i="1" s="1"/>
  <c r="G212" i="1" s="1"/>
  <c r="K211" i="1"/>
  <c r="F211" i="1" s="1"/>
  <c r="G211" i="1" s="1"/>
  <c r="K208" i="1"/>
  <c r="F208" i="1" s="1"/>
  <c r="G208" i="1" s="1"/>
  <c r="K207" i="1"/>
  <c r="F207" i="1" s="1"/>
  <c r="G207" i="1" s="1"/>
  <c r="K206" i="1"/>
  <c r="F206" i="1" s="1"/>
  <c r="G206" i="1" s="1"/>
  <c r="K205" i="1"/>
  <c r="F205" i="1" s="1"/>
  <c r="G205" i="1" s="1"/>
  <c r="K204" i="1"/>
  <c r="F204" i="1" s="1"/>
  <c r="G204" i="1" s="1"/>
  <c r="K203" i="1"/>
  <c r="F203" i="1" s="1"/>
  <c r="G203" i="1" s="1"/>
  <c r="K200" i="1"/>
  <c r="F200" i="1" s="1"/>
  <c r="G200" i="1" s="1"/>
  <c r="K199" i="1"/>
  <c r="F199" i="1" s="1"/>
  <c r="G199" i="1" s="1"/>
  <c r="K198" i="1"/>
  <c r="F198" i="1" s="1"/>
  <c r="G198" i="1" s="1"/>
  <c r="K197" i="1"/>
  <c r="F197" i="1" s="1"/>
  <c r="G197" i="1" s="1"/>
  <c r="K196" i="1"/>
  <c r="F196" i="1" s="1"/>
  <c r="G196" i="1" s="1"/>
  <c r="K195" i="1"/>
  <c r="F195" i="1" s="1"/>
  <c r="G195" i="1" s="1"/>
  <c r="K194" i="1"/>
  <c r="F194" i="1" s="1"/>
  <c r="G194" i="1" s="1"/>
  <c r="K185" i="1"/>
  <c r="F185" i="1" s="1"/>
  <c r="G185" i="1" s="1"/>
  <c r="K184" i="1"/>
  <c r="F184" i="1" s="1"/>
  <c r="G184" i="1" s="1"/>
  <c r="K183" i="1"/>
  <c r="F183" i="1" s="1"/>
  <c r="G183" i="1" s="1"/>
  <c r="K177" i="1"/>
  <c r="F177" i="1" s="1"/>
  <c r="G177" i="1" s="1"/>
  <c r="K176" i="1"/>
  <c r="F176" i="1" s="1"/>
  <c r="G176" i="1" s="1"/>
  <c r="K169" i="1"/>
  <c r="F169" i="1" s="1"/>
  <c r="G169" i="1" s="1"/>
  <c r="K168" i="1"/>
  <c r="F168" i="1" s="1"/>
  <c r="G168" i="1" s="1"/>
  <c r="K181" i="1"/>
  <c r="F181" i="1" s="1"/>
  <c r="G181" i="1" s="1"/>
  <c r="K50" i="2" l="1"/>
  <c r="F50" i="2" s="1"/>
  <c r="G50" i="2" s="1"/>
  <c r="K49" i="2"/>
  <c r="F49" i="2" s="1"/>
  <c r="G49" i="2" s="1"/>
  <c r="K48" i="2"/>
  <c r="F48" i="2" s="1"/>
  <c r="G48" i="2" s="1"/>
  <c r="K47" i="2"/>
  <c r="F47" i="2" s="1"/>
  <c r="G47" i="2" s="1"/>
  <c r="K72" i="2" l="1"/>
  <c r="F72" i="2" s="1"/>
  <c r="G72" i="2" s="1"/>
  <c r="K192" i="1"/>
  <c r="F192" i="1" s="1"/>
  <c r="G192" i="1" s="1"/>
  <c r="K85" i="2"/>
  <c r="F85" i="2" s="1"/>
  <c r="G85" i="2" s="1"/>
  <c r="K189" i="1"/>
  <c r="K188" i="1"/>
  <c r="K187" i="1"/>
  <c r="K182" i="1"/>
  <c r="K172" i="1"/>
  <c r="K171" i="1"/>
  <c r="K179" i="1"/>
  <c r="K175" i="1"/>
  <c r="K178" i="1"/>
  <c r="K174" i="1"/>
  <c r="K170" i="1"/>
  <c r="K180" i="1"/>
  <c r="K173" i="1"/>
  <c r="K166" i="1"/>
  <c r="K165" i="1"/>
  <c r="K163" i="1"/>
  <c r="K162" i="1"/>
  <c r="K161" i="1"/>
  <c r="K74" i="1"/>
  <c r="K73" i="1"/>
  <c r="F189" i="1" l="1"/>
  <c r="G189" i="1" s="1"/>
  <c r="F188" i="1"/>
  <c r="G188" i="1" s="1"/>
  <c r="F187" i="1"/>
  <c r="G187" i="1" s="1"/>
  <c r="K82" i="2" l="1"/>
  <c r="F82" i="2" s="1"/>
  <c r="G82" i="2" s="1"/>
  <c r="K81" i="2"/>
  <c r="F81" i="2" s="1"/>
  <c r="G81" i="2" s="1"/>
  <c r="K78" i="2"/>
  <c r="F78" i="2" s="1"/>
  <c r="G78" i="2" s="1"/>
  <c r="K77" i="2"/>
  <c r="F77" i="2" s="1"/>
  <c r="G77" i="2" s="1"/>
  <c r="K76" i="2"/>
  <c r="F76" i="2" s="1"/>
  <c r="G76" i="2" s="1"/>
  <c r="K75" i="2"/>
  <c r="F75" i="2" s="1"/>
  <c r="G75" i="2" s="1"/>
  <c r="K73" i="2"/>
  <c r="F73" i="2" s="1"/>
  <c r="G73" i="2" s="1"/>
  <c r="K71" i="2"/>
  <c r="F71" i="2" s="1"/>
  <c r="G71" i="2" s="1"/>
  <c r="K70" i="2"/>
  <c r="F70" i="2" s="1"/>
  <c r="G70" i="2" s="1"/>
  <c r="K67" i="2"/>
  <c r="F67" i="2" s="1"/>
  <c r="G67" i="2" s="1"/>
  <c r="K66" i="2"/>
  <c r="F66" i="2" s="1"/>
  <c r="G66" i="2" s="1"/>
  <c r="K65" i="2"/>
  <c r="F65" i="2" s="1"/>
  <c r="G65" i="2" s="1"/>
  <c r="K45" i="2"/>
  <c r="F45" i="2" s="1"/>
  <c r="G45" i="2" s="1"/>
  <c r="K44" i="2"/>
  <c r="F44" i="2" s="1"/>
  <c r="G44" i="2" s="1"/>
  <c r="K43" i="2"/>
  <c r="F43" i="2" s="1"/>
  <c r="G43" i="2" s="1"/>
  <c r="K42" i="2"/>
  <c r="F42" i="2" s="1"/>
  <c r="G42" i="2" s="1"/>
  <c r="K41" i="2"/>
  <c r="F41" i="2" s="1"/>
  <c r="G41" i="2" s="1"/>
  <c r="K40" i="2"/>
  <c r="F40" i="2" s="1"/>
  <c r="G40" i="2" s="1"/>
  <c r="K39" i="2"/>
  <c r="F39" i="2" s="1"/>
  <c r="G39" i="2" s="1"/>
  <c r="K38" i="2"/>
  <c r="F38" i="2" s="1"/>
  <c r="G38" i="2" s="1"/>
  <c r="K37" i="2"/>
  <c r="F37" i="2" s="1"/>
  <c r="G37" i="2" s="1"/>
  <c r="K35" i="2"/>
  <c r="F35" i="2" s="1"/>
  <c r="G35" i="2" s="1"/>
  <c r="K34" i="2"/>
  <c r="F34" i="2" s="1"/>
  <c r="G34" i="2" s="1"/>
  <c r="K27" i="2"/>
  <c r="F27" i="2" s="1"/>
  <c r="G27" i="2" s="1"/>
  <c r="K24" i="2"/>
  <c r="F24" i="2" s="1"/>
  <c r="G24" i="2" s="1"/>
  <c r="K23" i="2"/>
  <c r="F23" i="2" s="1"/>
  <c r="G23" i="2" s="1"/>
  <c r="K21" i="2"/>
  <c r="F21" i="2" s="1"/>
  <c r="G21" i="2" s="1"/>
  <c r="K20" i="2"/>
  <c r="F20" i="2" s="1"/>
  <c r="G20" i="2" s="1"/>
  <c r="K18" i="2"/>
  <c r="F18" i="2" s="1"/>
  <c r="G18" i="2" s="1"/>
  <c r="K17" i="2"/>
  <c r="F17" i="2" s="1"/>
  <c r="G17" i="2" s="1"/>
  <c r="K15" i="2"/>
  <c r="K14" i="2"/>
  <c r="K13" i="2"/>
  <c r="K10" i="2"/>
  <c r="K9" i="2"/>
  <c r="K8" i="2"/>
  <c r="K7" i="2"/>
  <c r="F182" i="1" l="1"/>
  <c r="G182" i="1" s="1"/>
  <c r="F172" i="1"/>
  <c r="G172" i="1" s="1"/>
  <c r="F171" i="1"/>
  <c r="G171" i="1" s="1"/>
  <c r="F179" i="1"/>
  <c r="G179" i="1" s="1"/>
  <c r="F175" i="1"/>
  <c r="G175" i="1" s="1"/>
  <c r="F180" i="1"/>
  <c r="G180" i="1" s="1"/>
  <c r="F173" i="1"/>
  <c r="G173" i="1" s="1"/>
  <c r="F178" i="1"/>
  <c r="G178" i="1" s="1"/>
  <c r="F174" i="1"/>
  <c r="G174" i="1" s="1"/>
  <c r="F170" i="1"/>
  <c r="G170" i="1" s="1"/>
  <c r="F166" i="1" l="1"/>
  <c r="G166" i="1" s="1"/>
  <c r="F165" i="1"/>
  <c r="G165" i="1" s="1"/>
  <c r="F163" i="1"/>
  <c r="G163" i="1" s="1"/>
  <c r="F162" i="1"/>
  <c r="G162" i="1" s="1"/>
  <c r="F161" i="1"/>
  <c r="G161" i="1" s="1"/>
  <c r="F74" i="1" l="1"/>
  <c r="G74" i="1" s="1"/>
  <c r="F73" i="1"/>
  <c r="G73" i="1" s="1"/>
  <c r="F14" i="2" l="1"/>
  <c r="G14" i="2" s="1"/>
  <c r="F15" i="2"/>
  <c r="G15" i="2" s="1"/>
  <c r="F13" i="2" l="1"/>
  <c r="G13" i="2" s="1"/>
  <c r="F10" i="2"/>
  <c r="G10" i="2" s="1"/>
  <c r="F9" i="2"/>
  <c r="G9" i="2" s="1"/>
  <c r="F8" i="2"/>
  <c r="G8" i="2" s="1"/>
  <c r="F7" i="2"/>
  <c r="G7" i="2" s="1"/>
</calcChain>
</file>

<file path=xl/sharedStrings.xml><?xml version="1.0" encoding="utf-8"?>
<sst xmlns="http://schemas.openxmlformats.org/spreadsheetml/2006/main" count="2503" uniqueCount="160">
  <si>
    <t>REKAPITULASI JAM MENGAJAR DOSEN PROGRAM STUDI TEKNOLOGI LABORATORIUM MEDIK (D4)</t>
  </si>
  <si>
    <t>NO</t>
  </si>
  <si>
    <t>DOSEN TETAP</t>
  </si>
  <si>
    <t>TANGGAL</t>
  </si>
  <si>
    <t>WAKTU PERKULIAHAN</t>
  </si>
  <si>
    <t>DURASI</t>
  </si>
  <si>
    <t>JUMLAH JAM</t>
  </si>
  <si>
    <t>MATA KULIAH</t>
  </si>
  <si>
    <t>METODE</t>
  </si>
  <si>
    <t>TINGKAT/ KELAS</t>
  </si>
  <si>
    <t>Hitung Menit</t>
  </si>
  <si>
    <t>MULAI</t>
  </si>
  <si>
    <t>SELESAI</t>
  </si>
  <si>
    <t>Teori</t>
  </si>
  <si>
    <t>IIA</t>
  </si>
  <si>
    <t>IIB</t>
  </si>
  <si>
    <t>IIC</t>
  </si>
  <si>
    <t>IA</t>
  </si>
  <si>
    <t>IB</t>
  </si>
  <si>
    <t>IC</t>
  </si>
  <si>
    <t>Manajemen Laboratorium II</t>
  </si>
  <si>
    <t>IIIC</t>
  </si>
  <si>
    <t>IIIB</t>
  </si>
  <si>
    <t>IIIA</t>
  </si>
  <si>
    <t>Dr. Perdina Nursidika, M.Si.</t>
  </si>
  <si>
    <t>Fini Ainun Qolbi W., M.Si.</t>
  </si>
  <si>
    <t>Sitti Romlah, M.Si.</t>
  </si>
  <si>
    <t xml:space="preserve"> </t>
  </si>
  <si>
    <t>DOSEN LUAR</t>
  </si>
  <si>
    <t xml:space="preserve">  </t>
  </si>
  <si>
    <t>Hematologi III</t>
  </si>
  <si>
    <t>Praktikum</t>
  </si>
  <si>
    <t xml:space="preserve">   </t>
  </si>
  <si>
    <t>Bayu Dwi Rianto, M.Biomed.</t>
  </si>
  <si>
    <t>Komunikasi dan Promosi Kesehatan</t>
  </si>
  <si>
    <t>Bakteriologi II</t>
  </si>
  <si>
    <t>Prakikum</t>
  </si>
  <si>
    <t>Dr. Arina Novilla, M.Kes.</t>
  </si>
  <si>
    <t>IVA</t>
  </si>
  <si>
    <t>IVB</t>
  </si>
  <si>
    <t>IVC</t>
  </si>
  <si>
    <t>Flebotomi dan Pengelolaan Spesimen</t>
  </si>
  <si>
    <t>Hematologi I</t>
  </si>
  <si>
    <t>Dr. Ayi Furqon, S.KM., M.Biomed.</t>
  </si>
  <si>
    <t>Dr. Ayi Furqon, S.KM.,M.Biomed.</t>
  </si>
  <si>
    <t>Kimia Klinik II</t>
  </si>
  <si>
    <t>Biostatistika </t>
  </si>
  <si>
    <t>Quality Contol II </t>
  </si>
  <si>
    <t>Validasi Hasil </t>
  </si>
  <si>
    <t>Dr. Erick Khristian, M.Si.</t>
  </si>
  <si>
    <t>Sitohistoteknologi II</t>
  </si>
  <si>
    <t>Biokimia</t>
  </si>
  <si>
    <t>Urinalisis dan Cairan Tubuh</t>
  </si>
  <si>
    <t>Toksikologi Klinik</t>
  </si>
  <si>
    <t>Eki Herawati, M.Kes.</t>
  </si>
  <si>
    <t>Ellsie Viendra P., M.Si., M.Sc.</t>
  </si>
  <si>
    <t>Bioinformatika</t>
  </si>
  <si>
    <t>Gina Khairinisa, S.KM.,M.Imun</t>
  </si>
  <si>
    <t>Gina Khairinisa, S.KM.,M.Imun.</t>
  </si>
  <si>
    <t>Ilmu Sosial Budaya Dasar</t>
  </si>
  <si>
    <t>Imunologi II</t>
  </si>
  <si>
    <t>Iis Herawati, S.Pd.,M.Kes.</t>
  </si>
  <si>
    <t>Lilis Puspa Friliansari, M.Kes.</t>
  </si>
  <si>
    <t>Parasitologi II</t>
  </si>
  <si>
    <t>Patricia Gita Naully, M.Si.</t>
  </si>
  <si>
    <t>Prina Puspa Kania, M.Si.</t>
  </si>
  <si>
    <t>Kimia Organik</t>
  </si>
  <si>
    <t>Pendidikan Keachmadyanian</t>
  </si>
  <si>
    <t>Teni, S.KM.</t>
  </si>
  <si>
    <t>Amelia Rachmawatie, dr.,Sp.PK(K), M.Kes</t>
  </si>
  <si>
    <t>Anggi Sandika, S.Tr.,Kes.,MM.</t>
  </si>
  <si>
    <t>Hendy Satria, M.Pd.</t>
  </si>
  <si>
    <t>Iin Nurhayati, S.Pd., M.Hum.</t>
  </si>
  <si>
    <t>Sussylawati Kasiman. Dr., Sp.PK</t>
  </si>
  <si>
    <t>Kewarganegaraan </t>
  </si>
  <si>
    <t>Bahasa Inggris II </t>
  </si>
  <si>
    <t>Patofisiologi</t>
  </si>
  <si>
    <t>SEMESTER GENAP TA. 2025/2026</t>
  </si>
  <si>
    <t>Ka. Prodi TLM D4</t>
  </si>
  <si>
    <t>Gina Khairinisa,M.Imun</t>
  </si>
  <si>
    <t>Tarma, M.Pd.</t>
  </si>
  <si>
    <t>Gina Agnia, SKM</t>
  </si>
  <si>
    <t xml:space="preserve">    </t>
  </si>
  <si>
    <t xml:space="preserve">     </t>
  </si>
  <si>
    <t>Validasi Hasil</t>
  </si>
  <si>
    <t>Kapita Selekta</t>
  </si>
  <si>
    <t>1A</t>
  </si>
  <si>
    <t>Biologi Molekuler Dasar</t>
  </si>
  <si>
    <t>Taufik Gunawan, M.Kes</t>
  </si>
  <si>
    <t>1B</t>
  </si>
  <si>
    <t>1C</t>
  </si>
  <si>
    <t>Kimia Klinik</t>
  </si>
  <si>
    <t>NID. 4121 282 88</t>
  </si>
  <si>
    <t>15 Mei 26</t>
  </si>
  <si>
    <t>16 Mei 26</t>
  </si>
  <si>
    <t>21 Mei 26</t>
  </si>
  <si>
    <t>28 Mei 26</t>
  </si>
  <si>
    <t>12 Mei 26</t>
  </si>
  <si>
    <t>19 Mei 26</t>
  </si>
  <si>
    <t>26 Mei 26</t>
  </si>
  <si>
    <t>23 Mei 26</t>
  </si>
  <si>
    <t>22 Mei 26</t>
  </si>
  <si>
    <t>29 Mei 26</t>
  </si>
  <si>
    <t>Vinna Erlindisari, S.Tr.Kes.</t>
  </si>
  <si>
    <t>12 mei 26</t>
  </si>
  <si>
    <t>18 Mei 26</t>
  </si>
  <si>
    <t>25 Mei 26</t>
  </si>
  <si>
    <t>20 Mei 26</t>
  </si>
  <si>
    <t>13 Mei 26</t>
  </si>
  <si>
    <t>11 Mei 26</t>
  </si>
  <si>
    <t>14 Mei 26</t>
  </si>
  <si>
    <t>27 Mei 26</t>
  </si>
  <si>
    <t>Komunikasi dan Promosi kesehatan</t>
  </si>
  <si>
    <t>Aditiyana Eka Putra, M.KM.</t>
  </si>
  <si>
    <t>PERIODE MEI</t>
  </si>
  <si>
    <t>Sonny Feisal Reynaldi, M.Si.</t>
  </si>
  <si>
    <t>7 Mei 26</t>
  </si>
  <si>
    <t>5 Mei 26</t>
  </si>
  <si>
    <t>100</t>
  </si>
  <si>
    <t>30 Mei 26</t>
  </si>
  <si>
    <t>50</t>
  </si>
  <si>
    <t>23 Mei 2026</t>
  </si>
  <si>
    <t>22 Mei 2026</t>
  </si>
  <si>
    <t>29 Mei 2026</t>
  </si>
  <si>
    <t>16 Mei 2026</t>
  </si>
  <si>
    <t>30 Mei 2026</t>
  </si>
  <si>
    <t>15 Mei 2026</t>
  </si>
  <si>
    <t>Alih Jenjang (A)</t>
  </si>
  <si>
    <t>Alih Jenjang (B)</t>
  </si>
  <si>
    <t>Tata Tulis Karya Ilmiah</t>
  </si>
  <si>
    <t>I'oh Ratiah, SKM.,MM</t>
  </si>
  <si>
    <t>Kewirausahaan</t>
  </si>
  <si>
    <t>Cimahi, 8 Juni 2026</t>
  </si>
  <si>
    <t>Biostatistika</t>
  </si>
  <si>
    <t>Metodologi Penelitian</t>
  </si>
  <si>
    <t>13 Mei 2026</t>
  </si>
  <si>
    <t>20 Mei 2026</t>
  </si>
  <si>
    <t>21 Mei 2026</t>
  </si>
  <si>
    <t>12 Mei 2026</t>
  </si>
  <si>
    <t>07.00</t>
  </si>
  <si>
    <t>08.40</t>
  </si>
  <si>
    <t>Hematologi Rutin</t>
  </si>
  <si>
    <t>10.20</t>
  </si>
  <si>
    <t>12.00</t>
  </si>
  <si>
    <t>13.00</t>
  </si>
  <si>
    <t>14.40</t>
  </si>
  <si>
    <t>16.20</t>
  </si>
  <si>
    <t>09.30</t>
  </si>
  <si>
    <t>IBD</t>
  </si>
  <si>
    <t>18 Mei 2026</t>
  </si>
  <si>
    <t>19 Mei 2026</t>
  </si>
  <si>
    <t>13.50</t>
  </si>
  <si>
    <t>15.30</t>
  </si>
  <si>
    <t>17.00</t>
  </si>
  <si>
    <t>14.00</t>
  </si>
  <si>
    <t>16.00</t>
  </si>
  <si>
    <t>18.00</t>
  </si>
  <si>
    <t>25 Mei 2026</t>
  </si>
  <si>
    <t>26 Mei 2026</t>
  </si>
  <si>
    <t>N. Ratna Ningrum, M.Biomed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</si>
</sst>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 Narrow"/>
      <family val="2"/>
    </font>
    <font>
      <sz val="12"/>
      <color rgb="FF000000"/>
      <name val="Calibri"/>
      <family val="2"/>
      <scheme val="minor"/>
    </font>
    <font>
      <sz val="10"/>
      <name val="Arial Narrow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7" fillId="0" borderId="0" applyNumberFormat="0" applyFill="0" applyBorder="0" applyAlignment="0" applyProtection="0"/>
    <xf numFmtId="0" fontId="9" fillId="0" borderId="0"/>
  </cellStyleXfs>
  <cellXfs count="17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2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1" xfId="1" applyFont="1" applyFill="1" applyBorder="1" applyAlignment="1">
      <alignment vertical="center"/>
    </xf>
    <xf numFmtId="0" fontId="8" fillId="3" borderId="1" xfId="2" applyFont="1" applyFill="1" applyBorder="1" applyAlignment="1">
      <alignment vertical="top" wrapText="1"/>
    </xf>
    <xf numFmtId="0" fontId="8" fillId="3" borderId="1" xfId="2" applyFont="1" applyFill="1" applyBorder="1" applyAlignment="1">
      <alignment vertical="center" wrapText="1"/>
    </xf>
    <xf numFmtId="15" fontId="8" fillId="0" borderId="1" xfId="0" applyNumberFormat="1" applyFont="1" applyBorder="1" applyAlignment="1">
      <alignment horizontal="center"/>
    </xf>
    <xf numFmtId="2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15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4" fillId="2" borderId="0" xfId="2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15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5" fontId="0" fillId="3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left" vertical="center"/>
    </xf>
    <xf numFmtId="15" fontId="0" fillId="3" borderId="1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8" fillId="3" borderId="1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8" fillId="0" borderId="0" xfId="0" applyFont="1"/>
    <xf numFmtId="15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vertical="top"/>
    </xf>
    <xf numFmtId="0" fontId="0" fillId="0" borderId="3" xfId="0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/>
    </xf>
    <xf numFmtId="20" fontId="0" fillId="0" borderId="1" xfId="0" quotePrefix="1" applyNumberFormat="1" applyBorder="1" applyAlignment="1">
      <alignment horizontal="center" vertical="center"/>
    </xf>
    <xf numFmtId="15" fontId="8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quotePrefix="1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20" fontId="8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4" fillId="0" borderId="1" xfId="0" applyFont="1" applyBorder="1"/>
    <xf numFmtId="15" fontId="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9" fillId="0" borderId="1" xfId="3" applyBorder="1"/>
    <xf numFmtId="20" fontId="9" fillId="0" borderId="1" xfId="3" applyNumberFormat="1" applyBorder="1" applyAlignment="1">
      <alignment horizont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9" fillId="0" borderId="1" xfId="3" applyBorder="1" applyAlignment="1">
      <alignment horizontal="center"/>
    </xf>
    <xf numFmtId="20" fontId="9" fillId="0" borderId="1" xfId="3" applyNumberFormat="1" applyBorder="1" applyAlignment="1">
      <alignment horizontal="center" vertical="center"/>
    </xf>
    <xf numFmtId="0" fontId="9" fillId="0" borderId="1" xfId="3" applyBorder="1" applyAlignment="1">
      <alignment horizontal="left" vertical="center"/>
    </xf>
    <xf numFmtId="15" fontId="9" fillId="0" borderId="1" xfId="3" applyNumberFormat="1" applyBorder="1" applyAlignment="1">
      <alignment horizontal="center" vertical="center"/>
    </xf>
    <xf numFmtId="0" fontId="9" fillId="0" borderId="1" xfId="3" applyBorder="1" applyAlignment="1">
      <alignment horizontal="center" vertical="center"/>
    </xf>
    <xf numFmtId="0" fontId="9" fillId="0" borderId="1" xfId="3" applyBorder="1" applyAlignment="1">
      <alignment horizontal="center" vertical="center" wrapText="1"/>
    </xf>
    <xf numFmtId="15" fontId="9" fillId="0" borderId="1" xfId="3" applyNumberFormat="1" applyBorder="1" applyAlignment="1">
      <alignment horizontal="center"/>
    </xf>
    <xf numFmtId="0" fontId="9" fillId="0" borderId="1" xfId="3" applyFill="1" applyBorder="1" applyAlignment="1">
      <alignment horizontal="left" vertical="center"/>
    </xf>
    <xf numFmtId="0" fontId="9" fillId="0" borderId="1" xfId="3" applyBorder="1"/>
    <xf numFmtId="20" fontId="9" fillId="0" borderId="1" xfId="3" applyNumberFormat="1" applyBorder="1" applyAlignment="1">
      <alignment horizontal="center"/>
    </xf>
    <xf numFmtId="0" fontId="9" fillId="0" borderId="1" xfId="3" applyBorder="1" applyAlignment="1">
      <alignment horizontal="center"/>
    </xf>
    <xf numFmtId="20" fontId="9" fillId="0" borderId="1" xfId="3" applyNumberFormat="1" applyBorder="1" applyAlignment="1">
      <alignment horizontal="center" vertical="center"/>
    </xf>
    <xf numFmtId="0" fontId="9" fillId="0" borderId="1" xfId="3" applyBorder="1" applyAlignment="1">
      <alignment horizontal="left" vertical="center"/>
    </xf>
    <xf numFmtId="0" fontId="9" fillId="0" borderId="1" xfId="3" applyBorder="1" applyAlignment="1">
      <alignment horizontal="center" vertical="center"/>
    </xf>
    <xf numFmtId="0" fontId="9" fillId="0" borderId="1" xfId="3" applyBorder="1" applyAlignment="1">
      <alignment horizontal="center" vertical="center" wrapText="1"/>
    </xf>
    <xf numFmtId="15" fontId="9" fillId="0" borderId="1" xfId="3" applyNumberFormat="1" applyBorder="1" applyAlignment="1">
      <alignment horizontal="center"/>
    </xf>
    <xf numFmtId="15" fontId="9" fillId="0" borderId="1" xfId="3" applyNumberFormat="1" applyFill="1" applyBorder="1" applyAlignment="1">
      <alignment horizontal="center"/>
    </xf>
    <xf numFmtId="20" fontId="9" fillId="0" borderId="1" xfId="3" applyNumberFormat="1" applyFill="1" applyBorder="1" applyAlignment="1">
      <alignment horizontal="center"/>
    </xf>
    <xf numFmtId="0" fontId="9" fillId="0" borderId="1" xfId="3" applyFill="1" applyBorder="1" applyAlignment="1">
      <alignment horizontal="center"/>
    </xf>
    <xf numFmtId="0" fontId="9" fillId="0" borderId="1" xfId="3" applyFill="1" applyBorder="1" applyAlignment="1">
      <alignment horizontal="center" vertical="center" wrapText="1"/>
    </xf>
    <xf numFmtId="0" fontId="9" fillId="0" borderId="1" xfId="3" applyFill="1" applyBorder="1"/>
    <xf numFmtId="20" fontId="9" fillId="0" borderId="1" xfId="3" applyNumberForma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0" xfId="2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 vertical="center"/>
    </xf>
    <xf numFmtId="20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0" fillId="2" borderId="2" xfId="0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top"/>
    </xf>
    <xf numFmtId="0" fontId="0" fillId="0" borderId="0" xfId="0" applyFill="1" applyAlignment="1">
      <alignment horizontal="center" vertical="center"/>
    </xf>
    <xf numFmtId="0" fontId="0" fillId="2" borderId="7" xfId="0" applyFill="1" applyBorder="1" applyAlignment="1">
      <alignment vertical="center"/>
    </xf>
  </cellXfs>
  <cellStyles count="4">
    <cellStyle name="Hyperlink" xfId="2" builtinId="8"/>
    <cellStyle name="Normal" xfId="0" builtinId="0"/>
    <cellStyle name="Normal 2" xfId="1" xr:uid="{99EEF261-3FD3-46BA-8C31-6FD540629B49}"/>
    <cellStyle name="Normal 3" xfId="3" xr:uid="{E5F1E864-5998-4EE8-88C2-694C13C51315}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4.xml"/><Relationship Id="rId18" Type="http://schemas.openxmlformats.org/officeDocument/2006/relationships/image" Target="../media/image8.png"/><Relationship Id="rId26" Type="http://schemas.openxmlformats.org/officeDocument/2006/relationships/customXml" Target="../ink/ink14.xml"/><Relationship Id="rId39" Type="http://schemas.openxmlformats.org/officeDocument/2006/relationships/customXml" Target="../ink/ink27.xml"/><Relationship Id="rId21" Type="http://schemas.openxmlformats.org/officeDocument/2006/relationships/customXml" Target="../ink/ink9.xml"/><Relationship Id="rId34" Type="http://schemas.openxmlformats.org/officeDocument/2006/relationships/customXml" Target="../ink/ink22.xml"/><Relationship Id="rId42" Type="http://schemas.openxmlformats.org/officeDocument/2006/relationships/customXml" Target="../ink/ink30.xml"/><Relationship Id="rId7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7.xml"/><Relationship Id="rId25" Type="http://schemas.openxmlformats.org/officeDocument/2006/relationships/customXml" Target="../ink/ink13.xml"/><Relationship Id="rId33" Type="http://schemas.openxmlformats.org/officeDocument/2006/relationships/customXml" Target="../ink/ink21.xml"/><Relationship Id="rId38" Type="http://schemas.openxmlformats.org/officeDocument/2006/relationships/customXml" Target="../ink/ink26.xml"/><Relationship Id="rId16" Type="http://schemas.openxmlformats.org/officeDocument/2006/relationships/customXml" Target="../ink/ink6.xml"/><Relationship Id="rId20" Type="http://schemas.openxmlformats.org/officeDocument/2006/relationships/image" Target="../media/image9.png"/><Relationship Id="rId29" Type="http://schemas.openxmlformats.org/officeDocument/2006/relationships/customXml" Target="../ink/ink17.xml"/><Relationship Id="rId41" Type="http://schemas.openxmlformats.org/officeDocument/2006/relationships/customXml" Target="../ink/ink29.xml"/><Relationship Id="rId1" Type="http://schemas.openxmlformats.org/officeDocument/2006/relationships/customXml" Target="../ink/ink1.xml"/><Relationship Id="rId6" Type="http://schemas.openxmlformats.org/officeDocument/2006/relationships/image" Target="../media/image2.png"/><Relationship Id="rId24" Type="http://schemas.openxmlformats.org/officeDocument/2006/relationships/customXml" Target="../ink/ink12.xml"/><Relationship Id="rId32" Type="http://schemas.openxmlformats.org/officeDocument/2006/relationships/customXml" Target="../ink/ink20.xml"/><Relationship Id="rId37" Type="http://schemas.openxmlformats.org/officeDocument/2006/relationships/customXml" Target="../ink/ink25.xml"/><Relationship Id="rId40" Type="http://schemas.openxmlformats.org/officeDocument/2006/relationships/customXml" Target="../ink/ink28.xml"/><Relationship Id="rId15" Type="http://schemas.openxmlformats.org/officeDocument/2006/relationships/image" Target="../media/image7.png"/><Relationship Id="rId23" Type="http://schemas.openxmlformats.org/officeDocument/2006/relationships/customXml" Target="../ink/ink11.xml"/><Relationship Id="rId28" Type="http://schemas.openxmlformats.org/officeDocument/2006/relationships/customXml" Target="../ink/ink16.xml"/><Relationship Id="rId36" Type="http://schemas.openxmlformats.org/officeDocument/2006/relationships/customXml" Target="../ink/ink24.xml"/><Relationship Id="rId19" Type="http://schemas.openxmlformats.org/officeDocument/2006/relationships/customXml" Target="../ink/ink8.xml"/><Relationship Id="rId31" Type="http://schemas.openxmlformats.org/officeDocument/2006/relationships/customXml" Target="../ink/ink19.xml"/><Relationship Id="rId44" Type="http://schemas.openxmlformats.org/officeDocument/2006/relationships/customXml" Target="../ink/ink32.xml"/><Relationship Id="rId14" Type="http://schemas.openxmlformats.org/officeDocument/2006/relationships/customXml" Target="../ink/ink5.xml"/><Relationship Id="rId22" Type="http://schemas.openxmlformats.org/officeDocument/2006/relationships/customXml" Target="../ink/ink10.xml"/><Relationship Id="rId27" Type="http://schemas.openxmlformats.org/officeDocument/2006/relationships/customXml" Target="../ink/ink15.xml"/><Relationship Id="rId30" Type="http://schemas.openxmlformats.org/officeDocument/2006/relationships/customXml" Target="../ink/ink18.xml"/><Relationship Id="rId35" Type="http://schemas.openxmlformats.org/officeDocument/2006/relationships/customXml" Target="../ink/ink23.xml"/><Relationship Id="rId43" Type="http://schemas.openxmlformats.org/officeDocument/2006/relationships/customXml" Target="../ink/ink31.xml"/><Relationship Id="rId8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638280</xdr:colOff>
      <xdr:row>293</xdr:row>
      <xdr:rowOff>55029</xdr:rowOff>
    </xdr:from>
    <xdr:to>
      <xdr:col>1</xdr:col>
      <xdr:colOff>638640</xdr:colOff>
      <xdr:row>293</xdr:row>
      <xdr:rowOff>55389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3">
              <a:extLst>
                <a:ext uri="{FF2B5EF4-FFF2-40B4-BE49-F238E27FC236}">
                  <a16:creationId xmlns:a16="http://schemas.microsoft.com/office/drawing/2014/main" id="{A02E9CDD-04E5-4DF6-96DA-291FC3AD7E07}"/>
                </a:ext>
              </a:extLst>
            </xdr14:cNvPr>
            <xdr14:cNvContentPartPr/>
          </xdr14:nvContentPartPr>
          <xdr14:nvPr macro=""/>
          <xdr14:xfrm>
            <a:off x="751362" y="12111330"/>
            <a:ext cx="360" cy="36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1A56C8D2-B02C-9949-4CAC-CF55B755C7B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45242" y="1210521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563167</xdr:colOff>
      <xdr:row>275</xdr:row>
      <xdr:rowOff>75332</xdr:rowOff>
    </xdr:from>
    <xdr:to>
      <xdr:col>1</xdr:col>
      <xdr:colOff>563527</xdr:colOff>
      <xdr:row>275</xdr:row>
      <xdr:rowOff>75692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" name="Tinta 21">
              <a:extLst>
                <a:ext uri="{FF2B5EF4-FFF2-40B4-BE49-F238E27FC236}">
                  <a16:creationId xmlns:a16="http://schemas.microsoft.com/office/drawing/2014/main" id="{51386DDE-C5B3-4FE5-92F6-17703D969ED2}"/>
                </a:ext>
              </a:extLst>
            </xdr14:cNvPr>
            <xdr14:cNvContentPartPr/>
          </xdr14:nvContentPartPr>
          <xdr14:nvPr macro=""/>
          <xdr14:xfrm>
            <a:off x="680760" y="5719776"/>
            <a:ext cx="360" cy="360"/>
          </xdr14:xfrm>
        </xdr:contentPart>
      </mc:Choice>
      <mc:Fallback xmlns="">
        <xdr:pic>
          <xdr:nvPicPr>
            <xdr:cNvPr id="22" name="Tinta 21">
              <a:extLst>
                <a:ext uri="{FF2B5EF4-FFF2-40B4-BE49-F238E27FC236}">
                  <a16:creationId xmlns:a16="http://schemas.microsoft.com/office/drawing/2014/main" id="{C9FD038D-E166-277C-FE26-F234E4F0E39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74640" y="571365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694567</xdr:colOff>
      <xdr:row>256</xdr:row>
      <xdr:rowOff>156524</xdr:rowOff>
    </xdr:from>
    <xdr:to>
      <xdr:col>1</xdr:col>
      <xdr:colOff>712567</xdr:colOff>
      <xdr:row>256</xdr:row>
      <xdr:rowOff>175244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" name="Tinta 28">
              <a:extLst>
                <a:ext uri="{FF2B5EF4-FFF2-40B4-BE49-F238E27FC236}">
                  <a16:creationId xmlns:a16="http://schemas.microsoft.com/office/drawing/2014/main" id="{4C670372-F95D-4168-A09D-D39830EEFF1B}"/>
                </a:ext>
              </a:extLst>
            </xdr14:cNvPr>
            <xdr14:cNvContentPartPr/>
          </xdr14:nvContentPartPr>
          <xdr14:nvPr macro=""/>
          <xdr14:xfrm>
            <a:off x="812160" y="5048376"/>
            <a:ext cx="18000" cy="18720"/>
          </xdr14:xfrm>
        </xdr:contentPart>
      </mc:Choice>
      <mc:Fallback xmlns="">
        <xdr:pic>
          <xdr:nvPicPr>
            <xdr:cNvPr id="29" name="Tinta 28">
              <a:extLst>
                <a:ext uri="{FF2B5EF4-FFF2-40B4-BE49-F238E27FC236}">
                  <a16:creationId xmlns:a16="http://schemas.microsoft.com/office/drawing/2014/main" id="{2CB16E7D-5034-7FD5-89D2-B55F9B6C5FC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06040" y="5042256"/>
              <a:ext cx="3024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433398</xdr:colOff>
      <xdr:row>264</xdr:row>
      <xdr:rowOff>76874</xdr:rowOff>
    </xdr:from>
    <xdr:to>
      <xdr:col>1</xdr:col>
      <xdr:colOff>433758</xdr:colOff>
      <xdr:row>264</xdr:row>
      <xdr:rowOff>77234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Tinta 29">
              <a:extLst>
                <a:ext uri="{FF2B5EF4-FFF2-40B4-BE49-F238E27FC236}">
                  <a16:creationId xmlns:a16="http://schemas.microsoft.com/office/drawing/2014/main" id="{D80FDAF2-1CA5-46CD-B201-8B7E4AB0C9D4}"/>
                </a:ext>
              </a:extLst>
            </xdr14:cNvPr>
            <xdr14:cNvContentPartPr/>
          </xdr14:nvContentPartPr>
          <xdr14:nvPr macro=""/>
          <xdr14:xfrm>
            <a:off x="546480" y="7749066"/>
            <a:ext cx="360" cy="360"/>
          </xdr14:xfrm>
        </xdr:contentPart>
      </mc:Choice>
      <mc:Fallback xmlns="">
        <xdr:pic>
          <xdr:nvPicPr>
            <xdr:cNvPr id="30" name="Tinta 29">
              <a:extLst>
                <a:ext uri="{FF2B5EF4-FFF2-40B4-BE49-F238E27FC236}">
                  <a16:creationId xmlns:a16="http://schemas.microsoft.com/office/drawing/2014/main" id="{3221811C-8211-65D0-0253-352F466840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40360" y="774294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474798</xdr:colOff>
      <xdr:row>264</xdr:row>
      <xdr:rowOff>90554</xdr:rowOff>
    </xdr:from>
    <xdr:to>
      <xdr:col>1</xdr:col>
      <xdr:colOff>539958</xdr:colOff>
      <xdr:row>265</xdr:row>
      <xdr:rowOff>36403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6" name="Tinta 30">
              <a:extLst>
                <a:ext uri="{FF2B5EF4-FFF2-40B4-BE49-F238E27FC236}">
                  <a16:creationId xmlns:a16="http://schemas.microsoft.com/office/drawing/2014/main" id="{3989DBFD-A6C5-4EA0-8E55-BD84CD7B1443}"/>
                </a:ext>
              </a:extLst>
            </xdr14:cNvPr>
            <xdr14:cNvContentPartPr/>
          </xdr14:nvContentPartPr>
          <xdr14:nvPr macro=""/>
          <xdr14:xfrm>
            <a:off x="587880" y="7762746"/>
            <a:ext cx="65160" cy="128520"/>
          </xdr14:xfrm>
        </xdr:contentPart>
      </mc:Choice>
      <mc:Fallback xmlns="">
        <xdr:pic>
          <xdr:nvPicPr>
            <xdr:cNvPr id="31" name="Tinta 30">
              <a:extLst>
                <a:ext uri="{FF2B5EF4-FFF2-40B4-BE49-F238E27FC236}">
                  <a16:creationId xmlns:a16="http://schemas.microsoft.com/office/drawing/2014/main" id="{838EE0B5-BA7E-F803-A2B1-4885309CF32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81760" y="7756626"/>
              <a:ext cx="7740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601518</xdr:colOff>
      <xdr:row>258</xdr:row>
      <xdr:rowOff>0</xdr:rowOff>
    </xdr:from>
    <xdr:to>
      <xdr:col>1</xdr:col>
      <xdr:colOff>601878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" name="Tinta 31">
              <a:extLst>
                <a:ext uri="{FF2B5EF4-FFF2-40B4-BE49-F238E27FC236}">
                  <a16:creationId xmlns:a16="http://schemas.microsoft.com/office/drawing/2014/main" id="{0E2AB0E2-9C7B-4D30-B069-B6BFD2C3EEAC}"/>
                </a:ext>
              </a:extLst>
            </xdr14:cNvPr>
            <xdr14:cNvContentPartPr/>
          </xdr14:nvContentPartPr>
          <xdr14:nvPr macro=""/>
          <xdr14:xfrm>
            <a:off x="714600" y="5241140"/>
            <a:ext cx="360" cy="360"/>
          </xdr14:xfrm>
        </xdr:contentPart>
      </mc:Choice>
      <mc:Fallback xmlns="">
        <xdr:pic>
          <xdr:nvPicPr>
            <xdr:cNvPr id="32" name="Tinta 31">
              <a:extLst>
                <a:ext uri="{FF2B5EF4-FFF2-40B4-BE49-F238E27FC236}">
                  <a16:creationId xmlns:a16="http://schemas.microsoft.com/office/drawing/2014/main" id="{7867D69B-EFD1-25EF-5AEB-E90BB2F78A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08480" y="52350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575958</xdr:colOff>
      <xdr:row>263</xdr:row>
      <xdr:rowOff>11339</xdr:rowOff>
    </xdr:from>
    <xdr:to>
      <xdr:col>1</xdr:col>
      <xdr:colOff>583518</xdr:colOff>
      <xdr:row>263</xdr:row>
      <xdr:rowOff>45899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8" name="Tinta 35">
              <a:extLst>
                <a:ext uri="{FF2B5EF4-FFF2-40B4-BE49-F238E27FC236}">
                  <a16:creationId xmlns:a16="http://schemas.microsoft.com/office/drawing/2014/main" id="{AB58BEB4-604C-46E3-AF74-978EF1AA5DCD}"/>
                </a:ext>
              </a:extLst>
            </xdr14:cNvPr>
            <xdr14:cNvContentPartPr/>
          </xdr14:nvContentPartPr>
          <xdr14:nvPr macro=""/>
          <xdr14:xfrm>
            <a:off x="689040" y="7500860"/>
            <a:ext cx="7560" cy="34560"/>
          </xdr14:xfrm>
        </xdr:contentPart>
      </mc:Choice>
      <mc:Fallback xmlns="">
        <xdr:pic>
          <xdr:nvPicPr>
            <xdr:cNvPr id="36" name="Tinta 35">
              <a:extLst>
                <a:ext uri="{FF2B5EF4-FFF2-40B4-BE49-F238E27FC236}">
                  <a16:creationId xmlns:a16="http://schemas.microsoft.com/office/drawing/2014/main" id="{C1F3FF63-F271-1911-60F5-290F0FFBF8B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82920" y="7494676"/>
              <a:ext cx="19800" cy="46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505758</xdr:colOff>
      <xdr:row>260</xdr:row>
      <xdr:rowOff>101808</xdr:rowOff>
    </xdr:from>
    <xdr:to>
      <xdr:col>1</xdr:col>
      <xdr:colOff>517638</xdr:colOff>
      <xdr:row>260</xdr:row>
      <xdr:rowOff>147528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9" name="Tinta 36">
              <a:extLst>
                <a:ext uri="{FF2B5EF4-FFF2-40B4-BE49-F238E27FC236}">
                  <a16:creationId xmlns:a16="http://schemas.microsoft.com/office/drawing/2014/main" id="{D9D4DA59-E266-4728-A948-256637AA681D}"/>
                </a:ext>
              </a:extLst>
            </xdr14:cNvPr>
            <xdr14:cNvContentPartPr/>
          </xdr14:nvContentPartPr>
          <xdr14:nvPr macro=""/>
          <xdr14:xfrm>
            <a:off x="618840" y="6677972"/>
            <a:ext cx="11880" cy="45720"/>
          </xdr14:xfrm>
        </xdr:contentPart>
      </mc:Choice>
      <mc:Fallback xmlns="">
        <xdr:pic>
          <xdr:nvPicPr>
            <xdr:cNvPr id="37" name="Tinta 36">
              <a:extLst>
                <a:ext uri="{FF2B5EF4-FFF2-40B4-BE49-F238E27FC236}">
                  <a16:creationId xmlns:a16="http://schemas.microsoft.com/office/drawing/2014/main" id="{DCE3505B-6B0F-25A2-98B2-AEB77B2B847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12720" y="6671852"/>
              <a:ext cx="2412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13112</xdr:colOff>
      <xdr:row>258</xdr:row>
      <xdr:rowOff>0</xdr:rowOff>
    </xdr:from>
    <xdr:to>
      <xdr:col>11</xdr:col>
      <xdr:colOff>13112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0" name="Tinta 40">
              <a:extLst>
                <a:ext uri="{FF2B5EF4-FFF2-40B4-BE49-F238E27FC236}">
                  <a16:creationId xmlns:a16="http://schemas.microsoft.com/office/drawing/2014/main" id="{5A06472D-B3D3-45E0-AB55-1C481EA14DF3}"/>
                </a:ext>
              </a:extLst>
            </xdr14:cNvPr>
            <xdr14:cNvContentPartPr/>
          </xdr14:nvContentPartPr>
          <xdr14:nvPr macro=""/>
          <xdr14:xfrm>
            <a:off x="5325480" y="2723115"/>
            <a:ext cx="360" cy="360"/>
          </xdr14:xfrm>
        </xdr:contentPart>
      </mc:Choice>
      <mc:Fallback xmlns="">
        <xdr:pic>
          <xdr:nvPicPr>
            <xdr:cNvPr id="41" name="Tinta 40">
              <a:extLst>
                <a:ext uri="{FF2B5EF4-FFF2-40B4-BE49-F238E27FC236}">
                  <a16:creationId xmlns:a16="http://schemas.microsoft.com/office/drawing/2014/main" id="{6C002BA1-74DD-43A6-9CCC-A50A5F2389A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319360" y="271699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556112</xdr:colOff>
      <xdr:row>258</xdr:row>
      <xdr:rowOff>0</xdr:rowOff>
    </xdr:from>
    <xdr:to>
      <xdr:col>10</xdr:col>
      <xdr:colOff>556448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1" name="Tinta 41">
              <a:extLst>
                <a:ext uri="{FF2B5EF4-FFF2-40B4-BE49-F238E27FC236}">
                  <a16:creationId xmlns:a16="http://schemas.microsoft.com/office/drawing/2014/main" id="{09C0CC96-BD9A-4661-8E44-FFA53F1C57BD}"/>
                </a:ext>
              </a:extLst>
            </xdr14:cNvPr>
            <xdr14:cNvContentPartPr/>
          </xdr14:nvContentPartPr>
          <xdr14:nvPr macro=""/>
          <xdr14:xfrm>
            <a:off x="5391360" y="2438355"/>
            <a:ext cx="360" cy="360"/>
          </xdr14:xfrm>
        </xdr:contentPart>
      </mc:Choice>
      <mc:Fallback xmlns="">
        <xdr:pic>
          <xdr:nvPicPr>
            <xdr:cNvPr id="42" name="Tinta 41">
              <a:extLst>
                <a:ext uri="{FF2B5EF4-FFF2-40B4-BE49-F238E27FC236}">
                  <a16:creationId xmlns:a16="http://schemas.microsoft.com/office/drawing/2014/main" id="{FEBA0BF7-1971-464C-B781-B6640DB87A8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385240" y="24322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587721</xdr:colOff>
      <xdr:row>258</xdr:row>
      <xdr:rowOff>0</xdr:rowOff>
    </xdr:from>
    <xdr:to>
      <xdr:col>10</xdr:col>
      <xdr:colOff>588081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2" name="Tinta 42">
              <a:extLst>
                <a:ext uri="{FF2B5EF4-FFF2-40B4-BE49-F238E27FC236}">
                  <a16:creationId xmlns:a16="http://schemas.microsoft.com/office/drawing/2014/main" id="{E2D489EA-2557-4DE4-8C26-005566CE0FC0}"/>
                </a:ext>
              </a:extLst>
            </xdr14:cNvPr>
            <xdr14:cNvContentPartPr/>
          </xdr14:nvContentPartPr>
          <xdr14:nvPr macro=""/>
          <xdr14:xfrm>
            <a:off x="5509080" y="1721955"/>
            <a:ext cx="360" cy="360"/>
          </xdr14:xfrm>
        </xdr:contentPart>
      </mc:Choice>
      <mc:Fallback xmlns="">
        <xdr:pic>
          <xdr:nvPicPr>
            <xdr:cNvPr id="43" name="Tinta 42">
              <a:extLst>
                <a:ext uri="{FF2B5EF4-FFF2-40B4-BE49-F238E27FC236}">
                  <a16:creationId xmlns:a16="http://schemas.microsoft.com/office/drawing/2014/main" id="{5942908B-B47E-44AE-AF30-C493A4C8C58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02960" y="17158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1106865</xdr:colOff>
      <xdr:row>258</xdr:row>
      <xdr:rowOff>0</xdr:rowOff>
    </xdr:from>
    <xdr:to>
      <xdr:col>9</xdr:col>
      <xdr:colOff>7108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3" name="Tinta 43">
              <a:extLst>
                <a:ext uri="{FF2B5EF4-FFF2-40B4-BE49-F238E27FC236}">
                  <a16:creationId xmlns:a16="http://schemas.microsoft.com/office/drawing/2014/main" id="{1CD35FCE-3325-491E-A7C0-2EF20A60BF6D}"/>
                </a:ext>
              </a:extLst>
            </xdr14:cNvPr>
            <xdr14:cNvContentPartPr/>
          </xdr14:nvContentPartPr>
          <xdr14:nvPr macro=""/>
          <xdr14:xfrm>
            <a:off x="5513040" y="1681995"/>
            <a:ext cx="360" cy="360"/>
          </xdr14:xfrm>
        </xdr:contentPart>
      </mc:Choice>
      <mc:Fallback xmlns="">
        <xdr:pic>
          <xdr:nvPicPr>
            <xdr:cNvPr id="44" name="Tinta 43">
              <a:extLst>
                <a:ext uri="{FF2B5EF4-FFF2-40B4-BE49-F238E27FC236}">
                  <a16:creationId xmlns:a16="http://schemas.microsoft.com/office/drawing/2014/main" id="{919697C4-C14A-44F2-8A4F-7F109DA950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06920" y="167587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0</xdr:colOff>
      <xdr:row>257</xdr:row>
      <xdr:rowOff>104238</xdr:rowOff>
    </xdr:from>
    <xdr:to>
      <xdr:col>11</xdr:col>
      <xdr:colOff>0</xdr:colOff>
      <xdr:row>257</xdr:row>
      <xdr:rowOff>104598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4" name="Tinta 44">
              <a:extLst>
                <a:ext uri="{FF2B5EF4-FFF2-40B4-BE49-F238E27FC236}">
                  <a16:creationId xmlns:a16="http://schemas.microsoft.com/office/drawing/2014/main" id="{DEE75370-90C8-4B91-91AE-A00C3F9151C8}"/>
                </a:ext>
              </a:extLst>
            </xdr14:cNvPr>
            <xdr14:cNvContentPartPr/>
          </xdr14:nvContentPartPr>
          <xdr14:nvPr macro=""/>
          <xdr14:xfrm>
            <a:off x="5571360" y="1544835"/>
            <a:ext cx="360" cy="360"/>
          </xdr14:xfrm>
        </xdr:contentPart>
      </mc:Choice>
      <mc:Fallback xmlns="">
        <xdr:pic>
          <xdr:nvPicPr>
            <xdr:cNvPr id="45" name="Tinta 44">
              <a:extLst>
                <a:ext uri="{FF2B5EF4-FFF2-40B4-BE49-F238E27FC236}">
                  <a16:creationId xmlns:a16="http://schemas.microsoft.com/office/drawing/2014/main" id="{4F0E48B6-B9B3-40AE-AE75-CEAC6ED9C6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65240" y="153871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638280</xdr:colOff>
      <xdr:row>293</xdr:row>
      <xdr:rowOff>55029</xdr:rowOff>
    </xdr:from>
    <xdr:to>
      <xdr:col>1</xdr:col>
      <xdr:colOff>638640</xdr:colOff>
      <xdr:row>293</xdr:row>
      <xdr:rowOff>55389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" name="Tinta 3">
              <a:extLst>
                <a:ext uri="{FF2B5EF4-FFF2-40B4-BE49-F238E27FC236}">
                  <a16:creationId xmlns:a16="http://schemas.microsoft.com/office/drawing/2014/main" id="{313CD27F-EA17-49D7-A40F-B19871EB090B}"/>
                </a:ext>
              </a:extLst>
            </xdr14:cNvPr>
            <xdr14:cNvContentPartPr/>
          </xdr14:nvContentPartPr>
          <xdr14:nvPr macro=""/>
          <xdr14:xfrm>
            <a:off x="751362" y="12111330"/>
            <a:ext cx="360" cy="36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1A56C8D2-B02C-9949-4CAC-CF55B755C7B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45242" y="1210521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563167</xdr:colOff>
      <xdr:row>275</xdr:row>
      <xdr:rowOff>75332</xdr:rowOff>
    </xdr:from>
    <xdr:to>
      <xdr:col>1</xdr:col>
      <xdr:colOff>563527</xdr:colOff>
      <xdr:row>275</xdr:row>
      <xdr:rowOff>75692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6" name="Tinta 21">
              <a:extLst>
                <a:ext uri="{FF2B5EF4-FFF2-40B4-BE49-F238E27FC236}">
                  <a16:creationId xmlns:a16="http://schemas.microsoft.com/office/drawing/2014/main" id="{AF223EA0-AAFE-4B4C-A170-9828BB26D6D4}"/>
                </a:ext>
              </a:extLst>
            </xdr14:cNvPr>
            <xdr14:cNvContentPartPr/>
          </xdr14:nvContentPartPr>
          <xdr14:nvPr macro=""/>
          <xdr14:xfrm>
            <a:off x="680760" y="5719776"/>
            <a:ext cx="360" cy="360"/>
          </xdr14:xfrm>
        </xdr:contentPart>
      </mc:Choice>
      <mc:Fallback xmlns="">
        <xdr:pic>
          <xdr:nvPicPr>
            <xdr:cNvPr id="22" name="Tinta 21">
              <a:extLst>
                <a:ext uri="{FF2B5EF4-FFF2-40B4-BE49-F238E27FC236}">
                  <a16:creationId xmlns:a16="http://schemas.microsoft.com/office/drawing/2014/main" id="{C9FD038D-E166-277C-FE26-F234E4F0E39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74640" y="571365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694567</xdr:colOff>
      <xdr:row>256</xdr:row>
      <xdr:rowOff>156524</xdr:rowOff>
    </xdr:from>
    <xdr:to>
      <xdr:col>1</xdr:col>
      <xdr:colOff>712567</xdr:colOff>
      <xdr:row>256</xdr:row>
      <xdr:rowOff>175244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7" name="Tinta 28">
              <a:extLst>
                <a:ext uri="{FF2B5EF4-FFF2-40B4-BE49-F238E27FC236}">
                  <a16:creationId xmlns:a16="http://schemas.microsoft.com/office/drawing/2014/main" id="{6DD028F2-48A1-42F7-931C-310CCCA7F04D}"/>
                </a:ext>
              </a:extLst>
            </xdr14:cNvPr>
            <xdr14:cNvContentPartPr/>
          </xdr14:nvContentPartPr>
          <xdr14:nvPr macro=""/>
          <xdr14:xfrm>
            <a:off x="812160" y="5048376"/>
            <a:ext cx="18000" cy="18720"/>
          </xdr14:xfrm>
        </xdr:contentPart>
      </mc:Choice>
      <mc:Fallback xmlns="">
        <xdr:pic>
          <xdr:nvPicPr>
            <xdr:cNvPr id="29" name="Tinta 28">
              <a:extLst>
                <a:ext uri="{FF2B5EF4-FFF2-40B4-BE49-F238E27FC236}">
                  <a16:creationId xmlns:a16="http://schemas.microsoft.com/office/drawing/2014/main" id="{2CB16E7D-5034-7FD5-89D2-B55F9B6C5FC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06040" y="5042256"/>
              <a:ext cx="3024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433398</xdr:colOff>
      <xdr:row>264</xdr:row>
      <xdr:rowOff>76874</xdr:rowOff>
    </xdr:from>
    <xdr:to>
      <xdr:col>1</xdr:col>
      <xdr:colOff>433758</xdr:colOff>
      <xdr:row>264</xdr:row>
      <xdr:rowOff>77234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8" name="Tinta 29">
              <a:extLst>
                <a:ext uri="{FF2B5EF4-FFF2-40B4-BE49-F238E27FC236}">
                  <a16:creationId xmlns:a16="http://schemas.microsoft.com/office/drawing/2014/main" id="{15944BA6-4148-4C25-B004-C2C6FABB67FA}"/>
                </a:ext>
              </a:extLst>
            </xdr14:cNvPr>
            <xdr14:cNvContentPartPr/>
          </xdr14:nvContentPartPr>
          <xdr14:nvPr macro=""/>
          <xdr14:xfrm>
            <a:off x="546480" y="7749066"/>
            <a:ext cx="360" cy="360"/>
          </xdr14:xfrm>
        </xdr:contentPart>
      </mc:Choice>
      <mc:Fallback xmlns="">
        <xdr:pic>
          <xdr:nvPicPr>
            <xdr:cNvPr id="30" name="Tinta 29">
              <a:extLst>
                <a:ext uri="{FF2B5EF4-FFF2-40B4-BE49-F238E27FC236}">
                  <a16:creationId xmlns:a16="http://schemas.microsoft.com/office/drawing/2014/main" id="{3221811C-8211-65D0-0253-352F466840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40360" y="774294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474798</xdr:colOff>
      <xdr:row>264</xdr:row>
      <xdr:rowOff>90554</xdr:rowOff>
    </xdr:from>
    <xdr:to>
      <xdr:col>1</xdr:col>
      <xdr:colOff>539958</xdr:colOff>
      <xdr:row>265</xdr:row>
      <xdr:rowOff>36403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9" name="Tinta 30">
              <a:extLst>
                <a:ext uri="{FF2B5EF4-FFF2-40B4-BE49-F238E27FC236}">
                  <a16:creationId xmlns:a16="http://schemas.microsoft.com/office/drawing/2014/main" id="{3AC61F6F-6534-4CFB-881B-41682CD90DD6}"/>
                </a:ext>
              </a:extLst>
            </xdr14:cNvPr>
            <xdr14:cNvContentPartPr/>
          </xdr14:nvContentPartPr>
          <xdr14:nvPr macro=""/>
          <xdr14:xfrm>
            <a:off x="587880" y="7762746"/>
            <a:ext cx="65160" cy="128520"/>
          </xdr14:xfrm>
        </xdr:contentPart>
      </mc:Choice>
      <mc:Fallback xmlns="">
        <xdr:pic>
          <xdr:nvPicPr>
            <xdr:cNvPr id="31" name="Tinta 30">
              <a:extLst>
                <a:ext uri="{FF2B5EF4-FFF2-40B4-BE49-F238E27FC236}">
                  <a16:creationId xmlns:a16="http://schemas.microsoft.com/office/drawing/2014/main" id="{838EE0B5-BA7E-F803-A2B1-4885309CF32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81760" y="7756626"/>
              <a:ext cx="7740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601518</xdr:colOff>
      <xdr:row>258</xdr:row>
      <xdr:rowOff>0</xdr:rowOff>
    </xdr:from>
    <xdr:to>
      <xdr:col>1</xdr:col>
      <xdr:colOff>601878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0" name="Tinta 31">
              <a:extLst>
                <a:ext uri="{FF2B5EF4-FFF2-40B4-BE49-F238E27FC236}">
                  <a16:creationId xmlns:a16="http://schemas.microsoft.com/office/drawing/2014/main" id="{2D768B28-B6B9-4072-94F0-6318A4751721}"/>
                </a:ext>
              </a:extLst>
            </xdr14:cNvPr>
            <xdr14:cNvContentPartPr/>
          </xdr14:nvContentPartPr>
          <xdr14:nvPr macro=""/>
          <xdr14:xfrm>
            <a:off x="714600" y="5241140"/>
            <a:ext cx="360" cy="360"/>
          </xdr14:xfrm>
        </xdr:contentPart>
      </mc:Choice>
      <mc:Fallback xmlns="">
        <xdr:pic>
          <xdr:nvPicPr>
            <xdr:cNvPr id="32" name="Tinta 31">
              <a:extLst>
                <a:ext uri="{FF2B5EF4-FFF2-40B4-BE49-F238E27FC236}">
                  <a16:creationId xmlns:a16="http://schemas.microsoft.com/office/drawing/2014/main" id="{7867D69B-EFD1-25EF-5AEB-E90BB2F78A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08480" y="52350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575958</xdr:colOff>
      <xdr:row>263</xdr:row>
      <xdr:rowOff>11339</xdr:rowOff>
    </xdr:from>
    <xdr:to>
      <xdr:col>1</xdr:col>
      <xdr:colOff>583518</xdr:colOff>
      <xdr:row>263</xdr:row>
      <xdr:rowOff>45899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1" name="Tinta 35">
              <a:extLst>
                <a:ext uri="{FF2B5EF4-FFF2-40B4-BE49-F238E27FC236}">
                  <a16:creationId xmlns:a16="http://schemas.microsoft.com/office/drawing/2014/main" id="{7607DC9A-E97E-4301-AABE-3D3AEB88DB2B}"/>
                </a:ext>
              </a:extLst>
            </xdr14:cNvPr>
            <xdr14:cNvContentPartPr/>
          </xdr14:nvContentPartPr>
          <xdr14:nvPr macro=""/>
          <xdr14:xfrm>
            <a:off x="689040" y="7500860"/>
            <a:ext cx="7560" cy="34560"/>
          </xdr14:xfrm>
        </xdr:contentPart>
      </mc:Choice>
      <mc:Fallback xmlns="">
        <xdr:pic>
          <xdr:nvPicPr>
            <xdr:cNvPr id="36" name="Tinta 35">
              <a:extLst>
                <a:ext uri="{FF2B5EF4-FFF2-40B4-BE49-F238E27FC236}">
                  <a16:creationId xmlns:a16="http://schemas.microsoft.com/office/drawing/2014/main" id="{C1F3FF63-F271-1911-60F5-290F0FFBF8B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82920" y="7494676"/>
              <a:ext cx="19800" cy="46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505758</xdr:colOff>
      <xdr:row>260</xdr:row>
      <xdr:rowOff>101808</xdr:rowOff>
    </xdr:from>
    <xdr:to>
      <xdr:col>1</xdr:col>
      <xdr:colOff>517638</xdr:colOff>
      <xdr:row>260</xdr:row>
      <xdr:rowOff>147528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2" name="Tinta 36">
              <a:extLst>
                <a:ext uri="{FF2B5EF4-FFF2-40B4-BE49-F238E27FC236}">
                  <a16:creationId xmlns:a16="http://schemas.microsoft.com/office/drawing/2014/main" id="{96BBBA9B-3883-43B5-A3AC-098F30F41754}"/>
                </a:ext>
              </a:extLst>
            </xdr14:cNvPr>
            <xdr14:cNvContentPartPr/>
          </xdr14:nvContentPartPr>
          <xdr14:nvPr macro=""/>
          <xdr14:xfrm>
            <a:off x="618840" y="6677972"/>
            <a:ext cx="11880" cy="45720"/>
          </xdr14:xfrm>
        </xdr:contentPart>
      </mc:Choice>
      <mc:Fallback xmlns="">
        <xdr:pic>
          <xdr:nvPicPr>
            <xdr:cNvPr id="37" name="Tinta 36">
              <a:extLst>
                <a:ext uri="{FF2B5EF4-FFF2-40B4-BE49-F238E27FC236}">
                  <a16:creationId xmlns:a16="http://schemas.microsoft.com/office/drawing/2014/main" id="{DCE3505B-6B0F-25A2-98B2-AEB77B2B847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12720" y="6671852"/>
              <a:ext cx="2412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13112</xdr:colOff>
      <xdr:row>258</xdr:row>
      <xdr:rowOff>0</xdr:rowOff>
    </xdr:from>
    <xdr:to>
      <xdr:col>11</xdr:col>
      <xdr:colOff>13112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3" name="Tinta 40">
              <a:extLst>
                <a:ext uri="{FF2B5EF4-FFF2-40B4-BE49-F238E27FC236}">
                  <a16:creationId xmlns:a16="http://schemas.microsoft.com/office/drawing/2014/main" id="{9C37BAA9-FE20-4762-BE8C-456C09AD62BA}"/>
                </a:ext>
              </a:extLst>
            </xdr14:cNvPr>
            <xdr14:cNvContentPartPr/>
          </xdr14:nvContentPartPr>
          <xdr14:nvPr macro=""/>
          <xdr14:xfrm>
            <a:off x="5325480" y="2723115"/>
            <a:ext cx="360" cy="360"/>
          </xdr14:xfrm>
        </xdr:contentPart>
      </mc:Choice>
      <mc:Fallback xmlns="">
        <xdr:pic>
          <xdr:nvPicPr>
            <xdr:cNvPr id="41" name="Tinta 40">
              <a:extLst>
                <a:ext uri="{FF2B5EF4-FFF2-40B4-BE49-F238E27FC236}">
                  <a16:creationId xmlns:a16="http://schemas.microsoft.com/office/drawing/2014/main" id="{6C002BA1-74DD-43A6-9CCC-A50A5F2389A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319360" y="271699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556112</xdr:colOff>
      <xdr:row>258</xdr:row>
      <xdr:rowOff>0</xdr:rowOff>
    </xdr:from>
    <xdr:to>
      <xdr:col>10</xdr:col>
      <xdr:colOff>556448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4" name="Tinta 41">
              <a:extLst>
                <a:ext uri="{FF2B5EF4-FFF2-40B4-BE49-F238E27FC236}">
                  <a16:creationId xmlns:a16="http://schemas.microsoft.com/office/drawing/2014/main" id="{63FD23D2-0D0F-41DE-BCEF-5D2D6C3B79A5}"/>
                </a:ext>
              </a:extLst>
            </xdr14:cNvPr>
            <xdr14:cNvContentPartPr/>
          </xdr14:nvContentPartPr>
          <xdr14:nvPr macro=""/>
          <xdr14:xfrm>
            <a:off x="5391360" y="2438355"/>
            <a:ext cx="360" cy="360"/>
          </xdr14:xfrm>
        </xdr:contentPart>
      </mc:Choice>
      <mc:Fallback xmlns="">
        <xdr:pic>
          <xdr:nvPicPr>
            <xdr:cNvPr id="42" name="Tinta 41">
              <a:extLst>
                <a:ext uri="{FF2B5EF4-FFF2-40B4-BE49-F238E27FC236}">
                  <a16:creationId xmlns:a16="http://schemas.microsoft.com/office/drawing/2014/main" id="{FEBA0BF7-1971-464C-B781-B6640DB87A8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385240" y="24322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587721</xdr:colOff>
      <xdr:row>258</xdr:row>
      <xdr:rowOff>0</xdr:rowOff>
    </xdr:from>
    <xdr:to>
      <xdr:col>10</xdr:col>
      <xdr:colOff>588081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5" name="Tinta 42">
              <a:extLst>
                <a:ext uri="{FF2B5EF4-FFF2-40B4-BE49-F238E27FC236}">
                  <a16:creationId xmlns:a16="http://schemas.microsoft.com/office/drawing/2014/main" id="{11966E2A-1C78-46CB-AABB-E95A38691516}"/>
                </a:ext>
              </a:extLst>
            </xdr14:cNvPr>
            <xdr14:cNvContentPartPr/>
          </xdr14:nvContentPartPr>
          <xdr14:nvPr macro=""/>
          <xdr14:xfrm>
            <a:off x="5509080" y="1721955"/>
            <a:ext cx="360" cy="360"/>
          </xdr14:xfrm>
        </xdr:contentPart>
      </mc:Choice>
      <mc:Fallback xmlns="">
        <xdr:pic>
          <xdr:nvPicPr>
            <xdr:cNvPr id="43" name="Tinta 42">
              <a:extLst>
                <a:ext uri="{FF2B5EF4-FFF2-40B4-BE49-F238E27FC236}">
                  <a16:creationId xmlns:a16="http://schemas.microsoft.com/office/drawing/2014/main" id="{5942908B-B47E-44AE-AF30-C493A4C8C58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02960" y="17158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1106865</xdr:colOff>
      <xdr:row>258</xdr:row>
      <xdr:rowOff>0</xdr:rowOff>
    </xdr:from>
    <xdr:to>
      <xdr:col>9</xdr:col>
      <xdr:colOff>7269</xdr:colOff>
      <xdr:row>258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6" name="Tinta 43">
              <a:extLst>
                <a:ext uri="{FF2B5EF4-FFF2-40B4-BE49-F238E27FC236}">
                  <a16:creationId xmlns:a16="http://schemas.microsoft.com/office/drawing/2014/main" id="{AD3DB7C9-7593-4159-B516-11BF2ADD5951}"/>
                </a:ext>
              </a:extLst>
            </xdr14:cNvPr>
            <xdr14:cNvContentPartPr/>
          </xdr14:nvContentPartPr>
          <xdr14:nvPr macro=""/>
          <xdr14:xfrm>
            <a:off x="5513040" y="1681995"/>
            <a:ext cx="360" cy="360"/>
          </xdr14:xfrm>
        </xdr:contentPart>
      </mc:Choice>
      <mc:Fallback xmlns="">
        <xdr:pic>
          <xdr:nvPicPr>
            <xdr:cNvPr id="44" name="Tinta 43">
              <a:extLst>
                <a:ext uri="{FF2B5EF4-FFF2-40B4-BE49-F238E27FC236}">
                  <a16:creationId xmlns:a16="http://schemas.microsoft.com/office/drawing/2014/main" id="{919697C4-C14A-44F2-8A4F-7F109DA950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06920" y="167587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0</xdr:colOff>
      <xdr:row>257</xdr:row>
      <xdr:rowOff>104238</xdr:rowOff>
    </xdr:from>
    <xdr:to>
      <xdr:col>11</xdr:col>
      <xdr:colOff>0</xdr:colOff>
      <xdr:row>257</xdr:row>
      <xdr:rowOff>104598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7" name="Tinta 44">
              <a:extLst>
                <a:ext uri="{FF2B5EF4-FFF2-40B4-BE49-F238E27FC236}">
                  <a16:creationId xmlns:a16="http://schemas.microsoft.com/office/drawing/2014/main" id="{0644AF18-DD0B-4B03-B125-8256AB691C43}"/>
                </a:ext>
              </a:extLst>
            </xdr14:cNvPr>
            <xdr14:cNvContentPartPr/>
          </xdr14:nvContentPartPr>
          <xdr14:nvPr macro=""/>
          <xdr14:xfrm>
            <a:off x="5571360" y="1544835"/>
            <a:ext cx="360" cy="360"/>
          </xdr14:xfrm>
        </xdr:contentPart>
      </mc:Choice>
      <mc:Fallback xmlns="">
        <xdr:pic>
          <xdr:nvPicPr>
            <xdr:cNvPr id="45" name="Tinta 44">
              <a:extLst>
                <a:ext uri="{FF2B5EF4-FFF2-40B4-BE49-F238E27FC236}">
                  <a16:creationId xmlns:a16="http://schemas.microsoft.com/office/drawing/2014/main" id="{4F0E48B6-B9B3-40AE-AE75-CEAC6ED9C6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65240" y="153871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556112</xdr:colOff>
      <xdr:row>258</xdr:row>
      <xdr:rowOff>0</xdr:rowOff>
    </xdr:from>
    <xdr:ext cx="336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8" name="Tinta 41">
              <a:extLst>
                <a:ext uri="{FF2B5EF4-FFF2-40B4-BE49-F238E27FC236}">
                  <a16:creationId xmlns:a16="http://schemas.microsoft.com/office/drawing/2014/main" id="{1B1E7441-1A75-45C1-8848-D35D38037E14}"/>
                </a:ext>
              </a:extLst>
            </xdr14:cNvPr>
            <xdr14:cNvContentPartPr/>
          </xdr14:nvContentPartPr>
          <xdr14:nvPr macro=""/>
          <xdr14:xfrm>
            <a:off x="5391360" y="2438355"/>
            <a:ext cx="360" cy="360"/>
          </xdr14:xfrm>
        </xdr:contentPart>
      </mc:Choice>
      <mc:Fallback xmlns="">
        <xdr:pic>
          <xdr:nvPicPr>
            <xdr:cNvPr id="42" name="Tinta 41">
              <a:extLst>
                <a:ext uri="{FF2B5EF4-FFF2-40B4-BE49-F238E27FC236}">
                  <a16:creationId xmlns:a16="http://schemas.microsoft.com/office/drawing/2014/main" id="{FEBA0BF7-1971-464C-B781-B6640DB87A8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385240" y="24322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587721</xdr:colOff>
      <xdr:row>258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9" name="Tinta 42">
              <a:extLst>
                <a:ext uri="{FF2B5EF4-FFF2-40B4-BE49-F238E27FC236}">
                  <a16:creationId xmlns:a16="http://schemas.microsoft.com/office/drawing/2014/main" id="{5D9878DD-C38B-4B58-95DD-4D05A40D55F4}"/>
                </a:ext>
              </a:extLst>
            </xdr14:cNvPr>
            <xdr14:cNvContentPartPr/>
          </xdr14:nvContentPartPr>
          <xdr14:nvPr macro=""/>
          <xdr14:xfrm>
            <a:off x="5509080" y="1721955"/>
            <a:ext cx="360" cy="360"/>
          </xdr14:xfrm>
        </xdr:contentPart>
      </mc:Choice>
      <mc:Fallback xmlns="">
        <xdr:pic>
          <xdr:nvPicPr>
            <xdr:cNvPr id="43" name="Tinta 42">
              <a:extLst>
                <a:ext uri="{FF2B5EF4-FFF2-40B4-BE49-F238E27FC236}">
                  <a16:creationId xmlns:a16="http://schemas.microsoft.com/office/drawing/2014/main" id="{5942908B-B47E-44AE-AF30-C493A4C8C58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02960" y="17158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1106865</xdr:colOff>
      <xdr:row>258</xdr:row>
      <xdr:rowOff>0</xdr:rowOff>
    </xdr:from>
    <xdr:ext cx="199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0" name="Tinta 43">
              <a:extLst>
                <a:ext uri="{FF2B5EF4-FFF2-40B4-BE49-F238E27FC236}">
                  <a16:creationId xmlns:a16="http://schemas.microsoft.com/office/drawing/2014/main" id="{E767359D-5E57-4DD6-B4ED-CC9A836DC4BD}"/>
                </a:ext>
              </a:extLst>
            </xdr14:cNvPr>
            <xdr14:cNvContentPartPr/>
          </xdr14:nvContentPartPr>
          <xdr14:nvPr macro=""/>
          <xdr14:xfrm>
            <a:off x="5513040" y="1681995"/>
            <a:ext cx="360" cy="360"/>
          </xdr14:xfrm>
        </xdr:contentPart>
      </mc:Choice>
      <mc:Fallback xmlns="">
        <xdr:pic>
          <xdr:nvPicPr>
            <xdr:cNvPr id="44" name="Tinta 43">
              <a:extLst>
                <a:ext uri="{FF2B5EF4-FFF2-40B4-BE49-F238E27FC236}">
                  <a16:creationId xmlns:a16="http://schemas.microsoft.com/office/drawing/2014/main" id="{919697C4-C14A-44F2-8A4F-7F109DA950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06920" y="167587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556112</xdr:colOff>
      <xdr:row>258</xdr:row>
      <xdr:rowOff>0</xdr:rowOff>
    </xdr:from>
    <xdr:ext cx="336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1" name="Tinta 41">
              <a:extLst>
                <a:ext uri="{FF2B5EF4-FFF2-40B4-BE49-F238E27FC236}">
                  <a16:creationId xmlns:a16="http://schemas.microsoft.com/office/drawing/2014/main" id="{7106F8E8-CE86-4BB0-B0F1-A1414874F90E}"/>
                </a:ext>
              </a:extLst>
            </xdr14:cNvPr>
            <xdr14:cNvContentPartPr/>
          </xdr14:nvContentPartPr>
          <xdr14:nvPr macro=""/>
          <xdr14:xfrm>
            <a:off x="5391360" y="2438355"/>
            <a:ext cx="360" cy="360"/>
          </xdr14:xfrm>
        </xdr:contentPart>
      </mc:Choice>
      <mc:Fallback xmlns="">
        <xdr:pic>
          <xdr:nvPicPr>
            <xdr:cNvPr id="42" name="Tinta 41">
              <a:extLst>
                <a:ext uri="{FF2B5EF4-FFF2-40B4-BE49-F238E27FC236}">
                  <a16:creationId xmlns:a16="http://schemas.microsoft.com/office/drawing/2014/main" id="{FEBA0BF7-1971-464C-B781-B6640DB87A8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385240" y="24322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587721</xdr:colOff>
      <xdr:row>258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2" name="Tinta 42">
              <a:extLst>
                <a:ext uri="{FF2B5EF4-FFF2-40B4-BE49-F238E27FC236}">
                  <a16:creationId xmlns:a16="http://schemas.microsoft.com/office/drawing/2014/main" id="{C8E457B3-179A-4154-B4D4-133C851413C1}"/>
                </a:ext>
              </a:extLst>
            </xdr14:cNvPr>
            <xdr14:cNvContentPartPr/>
          </xdr14:nvContentPartPr>
          <xdr14:nvPr macro=""/>
          <xdr14:xfrm>
            <a:off x="5509080" y="1721955"/>
            <a:ext cx="360" cy="360"/>
          </xdr14:xfrm>
        </xdr:contentPart>
      </mc:Choice>
      <mc:Fallback xmlns="">
        <xdr:pic>
          <xdr:nvPicPr>
            <xdr:cNvPr id="43" name="Tinta 42">
              <a:extLst>
                <a:ext uri="{FF2B5EF4-FFF2-40B4-BE49-F238E27FC236}">
                  <a16:creationId xmlns:a16="http://schemas.microsoft.com/office/drawing/2014/main" id="{5942908B-B47E-44AE-AF30-C493A4C8C58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02960" y="17158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1106865</xdr:colOff>
      <xdr:row>258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3" name="Tinta 43">
              <a:extLst>
                <a:ext uri="{FF2B5EF4-FFF2-40B4-BE49-F238E27FC236}">
                  <a16:creationId xmlns:a16="http://schemas.microsoft.com/office/drawing/2014/main" id="{0AE0FA81-4471-4DDC-AEC5-2E0AEF4AC581}"/>
                </a:ext>
              </a:extLst>
            </xdr14:cNvPr>
            <xdr14:cNvContentPartPr/>
          </xdr14:nvContentPartPr>
          <xdr14:nvPr macro=""/>
          <xdr14:xfrm>
            <a:off x="5513040" y="1681995"/>
            <a:ext cx="360" cy="360"/>
          </xdr14:xfrm>
        </xdr:contentPart>
      </mc:Choice>
      <mc:Fallback xmlns="">
        <xdr:pic>
          <xdr:nvPicPr>
            <xdr:cNvPr id="44" name="Tinta 43">
              <a:extLst>
                <a:ext uri="{FF2B5EF4-FFF2-40B4-BE49-F238E27FC236}">
                  <a16:creationId xmlns:a16="http://schemas.microsoft.com/office/drawing/2014/main" id="{919697C4-C14A-44F2-8A4F-7F109DA950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06920" y="167587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0 1 14368 0 0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15776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21 1 12864 0 0</inkml:trace>
  <inkml:trace contextRef="#ctx0" brushRef="#br0" timeOffset="1">49 23 13056 0 0,'0'0'0'0'0</inkml:trace>
  <inkml:trace contextRef="#ctx0" brushRef="#br0" timeOffset="2">25 41 13968 0 0,'0'0'0'0'0</inkml:trace>
  <inkml:trace contextRef="#ctx0" brushRef="#br0" timeOffset="3">25 23 13864 0 0,'0'0'0'0'0</inkml:trace>
  <inkml:trace contextRef="#ctx0" brushRef="#br0" timeOffset="4">2 33 13672 0 0,'0'0'0'0'0</inkml:trace>
  <inkml:trace contextRef="#ctx0" brushRef="#br0" timeOffset="5">0 51 13056 0 0,'0'0'0'0'0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0 0 16687 0 0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1 0 19655 0 0</inkml:trace>
  <inkml:trace contextRef="#ctx0" brushRef="#br0" timeOffset="1">85 240 22007 0 0</inkml:trace>
  <inkml:trace contextRef="#ctx0" brushRef="#br0" timeOffset="2">181 356 22439 0 0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0 0 21527 0 0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40 12552 0 0,'0'0'0'0'0</inkml:trace>
  <inkml:trace contextRef="#ctx0" brushRef="#br0" timeOffset="1">20 35 15472 0 0,'0'0'0'0'0</inkml:trace>
  <inkml:trace contextRef="#ctx0" brushRef="#br0" timeOffset="2">10 1 13360 0 0,'0'0'0'0'0</inkml:trace>
  <inkml:trace contextRef="#ctx0" brushRef="#br0" timeOffset="3">10 1 14368 0 0,'0'0'0'0'0</inkml:trace>
  <inkml:trace contextRef="#ctx0" brushRef="#br0" timeOffset="4">1 11 14272 0 0,'0'0'3839'0'0</inkml:trace>
  <inkml:trace contextRef="#ctx0" brushRef="#br0" timeOffset="5">1 95 15576 0 0,'0'0'0'0'0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32 127 22119 0 0,'0'0'0'0'0,"-15"-69"8"0"0,-1 12-16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0 0 14144 0 0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0 0 15472 0 0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0 0 19919 0 0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1 0 20439 0 0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18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1 0 22951 0 0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0 1 14368 0 0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15776 0 0,'0'0'0'0'0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21 1 12864 0 0</inkml:trace>
  <inkml:trace contextRef="#ctx0" brushRef="#br0" timeOffset="1">49 23 13056 0 0,'0'0'0'0'0</inkml:trace>
  <inkml:trace contextRef="#ctx0" brushRef="#br0" timeOffset="2">25 41 13968 0 0,'0'0'0'0'0</inkml:trace>
  <inkml:trace contextRef="#ctx0" brushRef="#br0" timeOffset="3">25 23 13864 0 0,'0'0'0'0'0</inkml:trace>
  <inkml:trace contextRef="#ctx0" brushRef="#br0" timeOffset="4">2 33 13672 0 0,'0'0'0'0'0</inkml:trace>
  <inkml:trace contextRef="#ctx0" brushRef="#br0" timeOffset="5">0 51 13056 0 0,'0'0'0'0'0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0 0 16687 0 0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1 0 19655 0 0</inkml:trace>
  <inkml:trace contextRef="#ctx0" brushRef="#br0" timeOffset="1">85 240 22007 0 0</inkml:trace>
  <inkml:trace contextRef="#ctx0" brushRef="#br0" timeOffset="2">181 356 22439 0 0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0 0 21527 0 0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40 12552 0 0,'0'0'0'0'0</inkml:trace>
  <inkml:trace contextRef="#ctx0" brushRef="#br0" timeOffset="1">20 35 15472 0 0,'0'0'0'0'0</inkml:trace>
  <inkml:trace contextRef="#ctx0" brushRef="#br0" timeOffset="2">10 1 13360 0 0,'0'0'0'0'0</inkml:trace>
  <inkml:trace contextRef="#ctx0" brushRef="#br0" timeOffset="3">10 1 14368 0 0,'0'0'0'0'0</inkml:trace>
  <inkml:trace contextRef="#ctx0" brushRef="#br0" timeOffset="4">1 11 14272 0 0,'0'0'3839'0'0</inkml:trace>
  <inkml:trace contextRef="#ctx0" brushRef="#br0" timeOffset="5">1 95 15576 0 0,'0'0'0'0'0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32 127 22119 0 0,'0'0'0'0'0,"-15"-69"8"0"0,-1 12-16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0 0 14144 0 0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0 0 15472 0 0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0 0 19919 0 0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1 0 20439 0 0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3:51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1 0 22951 0 0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4:34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0 0 15472 0 0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4:34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0 0 19919 0 0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4:34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1 0 20439 0 0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4:34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0 0 15472 0 0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4:34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0 0 19919 0 0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0:34:34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1 0 20439 0 0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57FE-FE8F-4A3A-9690-DE5AF2CB75DF}">
  <dimension ref="A1:X417"/>
  <sheetViews>
    <sheetView tabSelected="1" zoomScale="79" zoomScaleNormal="87" workbookViewId="0">
      <selection activeCell="C30" sqref="C30"/>
    </sheetView>
  </sheetViews>
  <sheetFormatPr defaultColWidth="9.140625" defaultRowHeight="15" x14ac:dyDescent="0.25"/>
  <cols>
    <col min="1" max="1" width="4.85546875" style="5" customWidth="1"/>
    <col min="2" max="2" width="30.7109375" style="5" customWidth="1"/>
    <col min="3" max="3" width="12.7109375" style="7" customWidth="1"/>
    <col min="4" max="5" width="8.7109375" style="7" customWidth="1"/>
    <col min="6" max="6" width="10" style="6" customWidth="1"/>
    <col min="7" max="7" width="8" style="7" customWidth="1"/>
    <col min="8" max="8" width="36.28515625" style="7" bestFit="1" customWidth="1"/>
    <col min="9" max="9" width="11.28515625" style="5" bestFit="1" customWidth="1"/>
    <col min="10" max="10" width="19" style="7" bestFit="1" customWidth="1"/>
    <col min="11" max="11" width="9.7109375" style="5" customWidth="1"/>
    <col min="12" max="13" width="9.140625" style="5"/>
    <col min="14" max="14" width="25" style="5" bestFit="1" customWidth="1"/>
    <col min="15" max="15" width="10.140625" style="5" bestFit="1" customWidth="1"/>
    <col min="16" max="19" width="9.140625" style="5"/>
    <col min="20" max="20" width="27.85546875" style="5" bestFit="1" customWidth="1"/>
    <col min="21" max="21" width="10.28515625" style="5" bestFit="1" customWidth="1"/>
    <col min="22" max="16384" width="9.140625" style="5"/>
  </cols>
  <sheetData>
    <row r="1" spans="1:12" s="1" customFormat="1" ht="18.75" customHeight="1" x14ac:dyDescent="0.25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2" s="1" customFormat="1" ht="18.75" customHeight="1" x14ac:dyDescent="0.25">
      <c r="A2" s="152" t="s">
        <v>77</v>
      </c>
      <c r="B2" s="152"/>
      <c r="C2" s="152"/>
      <c r="D2" s="152"/>
      <c r="E2" s="152"/>
      <c r="F2" s="152"/>
      <c r="G2" s="152"/>
      <c r="H2" s="152"/>
      <c r="I2" s="152"/>
      <c r="J2" s="152"/>
    </row>
    <row r="3" spans="1:12" s="1" customFormat="1" ht="18.75" customHeight="1" x14ac:dyDescent="0.25">
      <c r="A3" s="152" t="s">
        <v>114</v>
      </c>
      <c r="B3" s="152"/>
      <c r="C3" s="152"/>
      <c r="D3" s="152"/>
      <c r="E3" s="152"/>
      <c r="F3" s="152"/>
      <c r="G3" s="152"/>
      <c r="H3" s="152"/>
      <c r="I3" s="152"/>
      <c r="J3" s="152"/>
    </row>
    <row r="5" spans="1:12" s="2" customFormat="1" ht="15" customHeight="1" x14ac:dyDescent="0.25">
      <c r="A5" s="151" t="s">
        <v>1</v>
      </c>
      <c r="B5" s="151" t="s">
        <v>2</v>
      </c>
      <c r="C5" s="151" t="s">
        <v>3</v>
      </c>
      <c r="D5" s="151" t="s">
        <v>4</v>
      </c>
      <c r="E5" s="151"/>
      <c r="F5" s="153" t="s">
        <v>5</v>
      </c>
      <c r="G5" s="154" t="s">
        <v>6</v>
      </c>
      <c r="H5" s="154" t="s">
        <v>7</v>
      </c>
      <c r="I5" s="154" t="s">
        <v>8</v>
      </c>
      <c r="J5" s="154" t="s">
        <v>9</v>
      </c>
      <c r="K5" s="154" t="s">
        <v>10</v>
      </c>
    </row>
    <row r="6" spans="1:12" s="2" customFormat="1" ht="15.75" customHeight="1" x14ac:dyDescent="0.25">
      <c r="A6" s="151"/>
      <c r="B6" s="151"/>
      <c r="C6" s="151"/>
      <c r="D6" s="28" t="s">
        <v>11</v>
      </c>
      <c r="E6" s="28" t="s">
        <v>12</v>
      </c>
      <c r="F6" s="153"/>
      <c r="G6" s="154"/>
      <c r="H6" s="154"/>
      <c r="I6" s="154"/>
      <c r="J6" s="154"/>
      <c r="K6" s="154"/>
    </row>
    <row r="7" spans="1:12" s="2" customFormat="1" ht="0.95" customHeight="1" x14ac:dyDescent="0.25">
      <c r="A7" s="3"/>
      <c r="B7" s="33"/>
      <c r="C7" s="34"/>
      <c r="D7" s="4"/>
      <c r="E7" s="4"/>
      <c r="F7" s="35"/>
      <c r="G7" s="30"/>
      <c r="H7" s="21"/>
      <c r="I7" s="30"/>
      <c r="J7" s="30"/>
      <c r="K7" s="29">
        <v>100</v>
      </c>
    </row>
    <row r="8" spans="1:12" s="2" customFormat="1" x14ac:dyDescent="0.25">
      <c r="A8" s="170">
        <v>1</v>
      </c>
      <c r="B8" s="16" t="s">
        <v>33</v>
      </c>
      <c r="C8" s="44" t="s">
        <v>97</v>
      </c>
      <c r="D8" s="45">
        <v>0.43055555555555558</v>
      </c>
      <c r="E8" s="45">
        <v>0.5</v>
      </c>
      <c r="F8" s="51">
        <f>VALUE(K8)</f>
        <v>100</v>
      </c>
      <c r="G8" s="49">
        <f>IF(F8&gt;=300,6,IF(F8&gt;=250,5,IF(F8&gt;=200,4,IF(F8&gt;=150,3,IF(F8&gt;=100,2,IF(F8&gt;=50,1,0))))))</f>
        <v>2</v>
      </c>
      <c r="H8" s="43" t="s">
        <v>112</v>
      </c>
      <c r="I8" s="46" t="s">
        <v>13</v>
      </c>
      <c r="J8" s="46" t="s">
        <v>18</v>
      </c>
      <c r="K8" s="47" t="str">
        <f>TEXT(E8-D8,"[mm]")</f>
        <v>100</v>
      </c>
      <c r="L8" s="5"/>
    </row>
    <row r="9" spans="1:12" s="2" customFormat="1" x14ac:dyDescent="0.25">
      <c r="A9" s="89"/>
      <c r="B9" s="16" t="s">
        <v>33</v>
      </c>
      <c r="C9" s="44" t="s">
        <v>97</v>
      </c>
      <c r="D9" s="45">
        <v>0.54166666666666663</v>
      </c>
      <c r="E9" s="45">
        <v>0.61111111111111105</v>
      </c>
      <c r="F9" s="17">
        <f>VALUE(K9)</f>
        <v>100</v>
      </c>
      <c r="G9" s="32">
        <f>IF(F9&gt;=300,6,IF(F9&gt;=250,5,IF(F9&gt;=200,4,IF(F9&gt;=150,3,IF(F9&gt;=100,2,IF(F9&gt;=50,1,0))))))</f>
        <v>2</v>
      </c>
      <c r="H9" s="43" t="s">
        <v>52</v>
      </c>
      <c r="I9" s="46" t="s">
        <v>31</v>
      </c>
      <c r="J9" s="46" t="s">
        <v>17</v>
      </c>
      <c r="K9" s="47" t="str">
        <f>TEXT(E9-D9,"[mm]")</f>
        <v>100</v>
      </c>
      <c r="L9" s="5"/>
    </row>
    <row r="10" spans="1:12" s="2" customFormat="1" x14ac:dyDescent="0.25">
      <c r="A10" s="89"/>
      <c r="B10" s="16" t="s">
        <v>33</v>
      </c>
      <c r="C10" s="44" t="s">
        <v>97</v>
      </c>
      <c r="D10" s="45">
        <v>0.61111111111111105</v>
      </c>
      <c r="E10" s="45">
        <v>0.68055555555555547</v>
      </c>
      <c r="F10" s="51">
        <f>VALUE(K10)</f>
        <v>100</v>
      </c>
      <c r="G10" s="32">
        <v>2</v>
      </c>
      <c r="H10" s="43" t="s">
        <v>52</v>
      </c>
      <c r="I10" s="46" t="s">
        <v>31</v>
      </c>
      <c r="J10" s="46" t="s">
        <v>19</v>
      </c>
      <c r="K10" s="47" t="str">
        <f>TEXT(E10-D10,"[mm]")</f>
        <v>100</v>
      </c>
      <c r="L10" s="5"/>
    </row>
    <row r="11" spans="1:12" s="2" customFormat="1" x14ac:dyDescent="0.25">
      <c r="A11" s="89"/>
      <c r="B11" s="16" t="s">
        <v>33</v>
      </c>
      <c r="C11" s="44" t="s">
        <v>108</v>
      </c>
      <c r="D11" s="45">
        <v>0.54166666666666663</v>
      </c>
      <c r="E11" s="45">
        <v>0.61111111111111105</v>
      </c>
      <c r="F11" s="46">
        <v>100</v>
      </c>
      <c r="G11" s="32">
        <v>2</v>
      </c>
      <c r="H11" s="43" t="s">
        <v>112</v>
      </c>
      <c r="I11" s="46" t="s">
        <v>13</v>
      </c>
      <c r="J11" s="46" t="s">
        <v>19</v>
      </c>
      <c r="K11" s="46">
        <v>100</v>
      </c>
      <c r="L11" s="5"/>
    </row>
    <row r="12" spans="1:12" s="2" customFormat="1" x14ac:dyDescent="0.25">
      <c r="A12" s="89"/>
      <c r="B12" s="16" t="s">
        <v>33</v>
      </c>
      <c r="C12" s="112" t="s">
        <v>124</v>
      </c>
      <c r="D12" s="109">
        <v>0.59722222222222221</v>
      </c>
      <c r="E12" s="109">
        <v>0.66666666666666663</v>
      </c>
      <c r="F12" s="100">
        <f>VALUE(K12)</f>
        <v>100</v>
      </c>
      <c r="G12" s="110">
        <f>IF(F12&gt;=300,6,IF(F12&gt;=250,5,IF(F12&gt;=200,4,IF(F12&gt;=150,3,IF(F12&gt;=100,2,IF(F12&gt;=50,1,0))))))</f>
        <v>2</v>
      </c>
      <c r="H12" s="111" t="s">
        <v>129</v>
      </c>
      <c r="I12" s="112" t="s">
        <v>13</v>
      </c>
      <c r="J12" s="112" t="s">
        <v>127</v>
      </c>
      <c r="K12" s="13" t="str">
        <f>TEXT(E12-D12,"[mm]")</f>
        <v>100</v>
      </c>
      <c r="L12" s="5"/>
    </row>
    <row r="13" spans="1:12" s="2" customFormat="1" x14ac:dyDescent="0.25">
      <c r="A13" s="89"/>
      <c r="B13" s="16" t="s">
        <v>33</v>
      </c>
      <c r="C13" s="112" t="s">
        <v>124</v>
      </c>
      <c r="D13" s="109">
        <v>0.66666666666666663</v>
      </c>
      <c r="E13" s="109">
        <v>0.73611111111111116</v>
      </c>
      <c r="F13" s="100">
        <f>VALUE(K13)</f>
        <v>100</v>
      </c>
      <c r="G13" s="110">
        <f>IF(F13&gt;=300,6,IF(F13&gt;=250,5,IF(F13&gt;=200,4,IF(F13&gt;=150,3,IF(F13&gt;=100,2,IF(F13&gt;=50,1,0))))))</f>
        <v>2</v>
      </c>
      <c r="H13" s="111" t="s">
        <v>129</v>
      </c>
      <c r="I13" s="112" t="s">
        <v>13</v>
      </c>
      <c r="J13" s="112" t="s">
        <v>128</v>
      </c>
      <c r="K13" s="13" t="str">
        <f>TEXT(E13-D13,"[mm]")</f>
        <v>100</v>
      </c>
      <c r="L13" s="5"/>
    </row>
    <row r="14" spans="1:12" s="2" customFormat="1" x14ac:dyDescent="0.25">
      <c r="A14" s="89"/>
      <c r="B14" s="16" t="s">
        <v>33</v>
      </c>
      <c r="C14" s="44" t="s">
        <v>105</v>
      </c>
      <c r="D14" s="47">
        <v>0.54166666666666663</v>
      </c>
      <c r="E14" s="47">
        <v>0.61111111111111105</v>
      </c>
      <c r="F14" s="51">
        <f>VALUE(K14)</f>
        <v>100</v>
      </c>
      <c r="G14" s="49">
        <f>IF(F14&gt;=300,6,IF(F14&gt;=250,5,IF(F14&gt;=200,4,IF(F14&gt;=150,3,IF(F14&gt;=100,2,IF(F14&gt;=50,1,0))))))</f>
        <v>2</v>
      </c>
      <c r="H14" s="102" t="s">
        <v>67</v>
      </c>
      <c r="I14" s="49" t="s">
        <v>13</v>
      </c>
      <c r="J14" s="49" t="s">
        <v>86</v>
      </c>
      <c r="K14" s="47" t="str">
        <f>TEXT(E14-D14,"[mm]")</f>
        <v>100</v>
      </c>
      <c r="L14" s="5"/>
    </row>
    <row r="15" spans="1:12" s="2" customFormat="1" x14ac:dyDescent="0.25">
      <c r="A15" s="71"/>
      <c r="B15" s="16" t="s">
        <v>33</v>
      </c>
      <c r="C15" s="44" t="s">
        <v>105</v>
      </c>
      <c r="D15" s="47">
        <v>0.61111111111111105</v>
      </c>
      <c r="E15" s="47">
        <v>0.68055555555555558</v>
      </c>
      <c r="F15" s="51">
        <f>VALUE(K15)</f>
        <v>100</v>
      </c>
      <c r="G15" s="49">
        <f>IF(F15&gt;=300,6,IF(F15&gt;=250,5,IF(F15&gt;=200,4,IF(F15&gt;=150,3,IF(F15&gt;=100,2,IF(F15&gt;=50,1,0))))))</f>
        <v>2</v>
      </c>
      <c r="H15" s="50" t="s">
        <v>67</v>
      </c>
      <c r="I15" s="49" t="s">
        <v>13</v>
      </c>
      <c r="J15" s="51" t="s">
        <v>89</v>
      </c>
      <c r="K15" s="47" t="str">
        <f>TEXT(E15-D15,"[mm]")</f>
        <v>100</v>
      </c>
      <c r="L15" s="5"/>
    </row>
    <row r="16" spans="1:12" s="2" customFormat="1" x14ac:dyDescent="0.25">
      <c r="A16" s="71"/>
      <c r="B16" s="16" t="s">
        <v>33</v>
      </c>
      <c r="C16" s="44" t="s">
        <v>105</v>
      </c>
      <c r="D16" s="47">
        <v>0.3611111111111111</v>
      </c>
      <c r="E16" s="47">
        <v>0.43055555555555558</v>
      </c>
      <c r="F16" s="51">
        <f>VALUE(K16)</f>
        <v>100</v>
      </c>
      <c r="G16" s="49">
        <f>IF(F16&gt;=300,6,IF(F16&gt;=250,5,IF(F16&gt;=200,4,IF(F16&gt;=150,3,IF(F16&gt;=100,2,IF(F16&gt;=50,1,0))))))</f>
        <v>2</v>
      </c>
      <c r="H16" s="50" t="s">
        <v>67</v>
      </c>
      <c r="I16" s="49" t="s">
        <v>13</v>
      </c>
      <c r="J16" s="51" t="s">
        <v>90</v>
      </c>
      <c r="K16" s="47" t="str">
        <f>TEXT(E16-D16,"[mm]")</f>
        <v>100</v>
      </c>
      <c r="L16" s="5"/>
    </row>
    <row r="17" spans="1:18" s="2" customFormat="1" x14ac:dyDescent="0.25">
      <c r="A17" s="71"/>
      <c r="B17" s="16" t="s">
        <v>33</v>
      </c>
      <c r="C17" s="44" t="s">
        <v>105</v>
      </c>
      <c r="D17" s="45">
        <v>0.43055555555555558</v>
      </c>
      <c r="E17" s="45">
        <v>0.5</v>
      </c>
      <c r="F17" s="46">
        <v>100</v>
      </c>
      <c r="G17" s="32">
        <v>2</v>
      </c>
      <c r="H17" s="43" t="s">
        <v>52</v>
      </c>
      <c r="I17" s="46" t="s">
        <v>31</v>
      </c>
      <c r="J17" s="46" t="s">
        <v>18</v>
      </c>
      <c r="K17" s="46">
        <v>100</v>
      </c>
      <c r="L17" s="5"/>
    </row>
    <row r="18" spans="1:18" s="2" customFormat="1" x14ac:dyDescent="0.25">
      <c r="A18" s="71"/>
      <c r="B18" s="16" t="s">
        <v>33</v>
      </c>
      <c r="C18" s="44" t="s">
        <v>98</v>
      </c>
      <c r="D18" s="45">
        <v>0.3611111111111111</v>
      </c>
      <c r="E18" s="45">
        <v>0.43055555555555558</v>
      </c>
      <c r="F18" s="51">
        <f>VALUE(K18)</f>
        <v>100</v>
      </c>
      <c r="G18" s="32">
        <f>IF(F18&gt;=300,6,IF(F18&gt;=250,5,IF(F18&gt;=200,4,IF(F18&gt;=150,3,IF(F18&gt;=100,2,IF(F18&gt;=50,1,0))))))</f>
        <v>2</v>
      </c>
      <c r="H18" s="43" t="s">
        <v>35</v>
      </c>
      <c r="I18" s="46" t="s">
        <v>31</v>
      </c>
      <c r="J18" s="46" t="s">
        <v>14</v>
      </c>
      <c r="K18" s="47" t="str">
        <f>TEXT(E18-D18,"[mm]")</f>
        <v>100</v>
      </c>
      <c r="L18" s="5"/>
    </row>
    <row r="19" spans="1:18" s="2" customFormat="1" x14ac:dyDescent="0.25">
      <c r="A19" s="71"/>
      <c r="B19" s="16" t="s">
        <v>33</v>
      </c>
      <c r="C19" s="44" t="s">
        <v>98</v>
      </c>
      <c r="D19" s="45">
        <v>0.54166666666666663</v>
      </c>
      <c r="E19" s="45">
        <v>0.61111111111111105</v>
      </c>
      <c r="F19" s="51">
        <f>VALUE(K19)</f>
        <v>100</v>
      </c>
      <c r="G19" s="32">
        <f>IF(F19&gt;=300,6,IF(F19&gt;=250,5,IF(F19&gt;=200,4,IF(F19&gt;=150,3,IF(F19&gt;=100,2,IF(F19&gt;=50,1,0))))))</f>
        <v>2</v>
      </c>
      <c r="H19" s="43" t="s">
        <v>52</v>
      </c>
      <c r="I19" s="46" t="s">
        <v>31</v>
      </c>
      <c r="J19" s="46" t="s">
        <v>17</v>
      </c>
      <c r="K19" s="47" t="str">
        <f>TEXT(E19-D19,"[mm]")</f>
        <v>100</v>
      </c>
      <c r="L19" s="5"/>
    </row>
    <row r="20" spans="1:18" s="2" customFormat="1" x14ac:dyDescent="0.25">
      <c r="A20" s="71"/>
      <c r="B20" s="16" t="s">
        <v>33</v>
      </c>
      <c r="C20" s="44" t="s">
        <v>98</v>
      </c>
      <c r="D20" s="45">
        <v>0.61111111111111105</v>
      </c>
      <c r="E20" s="45">
        <v>0.68055555555555547</v>
      </c>
      <c r="F20" s="51">
        <f>VALUE(K20)</f>
        <v>100</v>
      </c>
      <c r="G20" s="32">
        <v>2</v>
      </c>
      <c r="H20" s="43" t="s">
        <v>52</v>
      </c>
      <c r="I20" s="46" t="s">
        <v>31</v>
      </c>
      <c r="J20" s="46" t="s">
        <v>19</v>
      </c>
      <c r="K20" s="47" t="str">
        <f>TEXT(E20-D20,"[mm]")</f>
        <v>100</v>
      </c>
      <c r="L20" s="5"/>
    </row>
    <row r="21" spans="1:18" s="2" customFormat="1" x14ac:dyDescent="0.25">
      <c r="A21" s="71"/>
      <c r="B21" s="16" t="s">
        <v>33</v>
      </c>
      <c r="C21" s="44" t="s">
        <v>98</v>
      </c>
      <c r="D21" s="45">
        <v>0.43055555555555558</v>
      </c>
      <c r="E21" s="45">
        <v>0.5</v>
      </c>
      <c r="F21" s="46">
        <v>100</v>
      </c>
      <c r="G21" s="32">
        <v>2</v>
      </c>
      <c r="H21" s="43" t="s">
        <v>112</v>
      </c>
      <c r="I21" s="46" t="s">
        <v>13</v>
      </c>
      <c r="J21" s="46" t="s">
        <v>18</v>
      </c>
      <c r="K21" s="46">
        <v>100</v>
      </c>
      <c r="L21" s="5"/>
    </row>
    <row r="22" spans="1:18" s="2" customFormat="1" x14ac:dyDescent="0.25">
      <c r="A22" s="71"/>
      <c r="B22" s="16" t="s">
        <v>33</v>
      </c>
      <c r="C22" s="44" t="s">
        <v>107</v>
      </c>
      <c r="D22" s="45">
        <v>0.61111111111111105</v>
      </c>
      <c r="E22" s="45">
        <v>0.68055555555555547</v>
      </c>
      <c r="F22" s="51">
        <f t="shared" ref="F22:F33" si="0">VALUE(K22)</f>
        <v>100</v>
      </c>
      <c r="G22" s="32">
        <f t="shared" ref="G22:G32" si="1">IF(F22&gt;=300,6,IF(F22&gt;=250,5,IF(F22&gt;=200,4,IF(F22&gt;=150,3,IF(F22&gt;=100,2,IF(F22&gt;=50,1,0))))))</f>
        <v>2</v>
      </c>
      <c r="H22" s="43" t="s">
        <v>35</v>
      </c>
      <c r="I22" s="46" t="s">
        <v>31</v>
      </c>
      <c r="J22" s="46" t="s">
        <v>14</v>
      </c>
      <c r="K22" s="47" t="str">
        <f t="shared" ref="K22:K33" si="2">TEXT(E22-D22,"[mm]")</f>
        <v>100</v>
      </c>
      <c r="L22" s="5"/>
    </row>
    <row r="23" spans="1:18" s="2" customFormat="1" x14ac:dyDescent="0.25">
      <c r="A23" s="71"/>
      <c r="B23" s="16" t="s">
        <v>33</v>
      </c>
      <c r="C23" s="44" t="s">
        <v>107</v>
      </c>
      <c r="D23" s="45">
        <v>0.29166666666666669</v>
      </c>
      <c r="E23" s="45">
        <v>0.3611111111111111</v>
      </c>
      <c r="F23" s="51">
        <f t="shared" si="0"/>
        <v>100</v>
      </c>
      <c r="G23" s="49">
        <f t="shared" si="1"/>
        <v>2</v>
      </c>
      <c r="H23" s="43" t="s">
        <v>35</v>
      </c>
      <c r="I23" s="46" t="s">
        <v>31</v>
      </c>
      <c r="J23" s="46" t="s">
        <v>15</v>
      </c>
      <c r="K23" s="47" t="str">
        <f t="shared" si="2"/>
        <v>100</v>
      </c>
      <c r="L23" s="5"/>
    </row>
    <row r="24" spans="1:18" s="2" customFormat="1" x14ac:dyDescent="0.25">
      <c r="A24" s="71"/>
      <c r="B24" s="16" t="s">
        <v>33</v>
      </c>
      <c r="C24" s="44" t="s">
        <v>107</v>
      </c>
      <c r="D24" s="45">
        <v>0.54166666666666663</v>
      </c>
      <c r="E24" s="45">
        <v>0.61111111111111105</v>
      </c>
      <c r="F24" s="51">
        <f t="shared" si="0"/>
        <v>100</v>
      </c>
      <c r="G24" s="49">
        <f t="shared" si="1"/>
        <v>2</v>
      </c>
      <c r="H24" s="43" t="s">
        <v>35</v>
      </c>
      <c r="I24" s="46" t="s">
        <v>31</v>
      </c>
      <c r="J24" s="46" t="s">
        <v>15</v>
      </c>
      <c r="K24" s="47" t="str">
        <f t="shared" si="2"/>
        <v>100</v>
      </c>
      <c r="L24" s="5"/>
    </row>
    <row r="25" spans="1:18" s="2" customFormat="1" x14ac:dyDescent="0.25">
      <c r="A25" s="71"/>
      <c r="B25" s="16" t="s">
        <v>33</v>
      </c>
      <c r="C25" s="44" t="s">
        <v>95</v>
      </c>
      <c r="D25" s="45">
        <v>0.54166666666666663</v>
      </c>
      <c r="E25" s="45">
        <v>0.61111111111111116</v>
      </c>
      <c r="F25" s="51">
        <f t="shared" si="0"/>
        <v>100</v>
      </c>
      <c r="G25" s="32">
        <f t="shared" si="1"/>
        <v>2</v>
      </c>
      <c r="H25" s="43" t="s">
        <v>35</v>
      </c>
      <c r="I25" s="46" t="s">
        <v>31</v>
      </c>
      <c r="J25" s="46" t="s">
        <v>14</v>
      </c>
      <c r="K25" s="47" t="str">
        <f t="shared" si="2"/>
        <v>100</v>
      </c>
      <c r="L25" s="5"/>
    </row>
    <row r="26" spans="1:18" s="2" customFormat="1" x14ac:dyDescent="0.25">
      <c r="A26" s="71"/>
      <c r="B26" s="16" t="s">
        <v>33</v>
      </c>
      <c r="C26" s="44" t="s">
        <v>95</v>
      </c>
      <c r="D26" s="45">
        <v>0.29166666666666669</v>
      </c>
      <c r="E26" s="45">
        <v>0.3611111111111111</v>
      </c>
      <c r="F26" s="17">
        <f t="shared" si="0"/>
        <v>100</v>
      </c>
      <c r="G26" s="32">
        <f t="shared" si="1"/>
        <v>2</v>
      </c>
      <c r="H26" s="43" t="s">
        <v>35</v>
      </c>
      <c r="I26" s="46" t="s">
        <v>31</v>
      </c>
      <c r="J26" s="46" t="s">
        <v>15</v>
      </c>
      <c r="K26" s="47" t="str">
        <f t="shared" si="2"/>
        <v>100</v>
      </c>
      <c r="L26" s="5"/>
    </row>
    <row r="27" spans="1:18" s="2" customFormat="1" x14ac:dyDescent="0.25">
      <c r="A27" s="71"/>
      <c r="B27" s="16" t="s">
        <v>33</v>
      </c>
      <c r="C27" s="44" t="s">
        <v>95</v>
      </c>
      <c r="D27" s="45">
        <v>0.61111111111111116</v>
      </c>
      <c r="E27" s="45">
        <v>0.68055555555555558</v>
      </c>
      <c r="F27" s="17">
        <f t="shared" si="0"/>
        <v>100</v>
      </c>
      <c r="G27" s="32">
        <f t="shared" si="1"/>
        <v>2</v>
      </c>
      <c r="H27" s="43" t="s">
        <v>35</v>
      </c>
      <c r="I27" s="46" t="s">
        <v>31</v>
      </c>
      <c r="J27" s="46" t="s">
        <v>15</v>
      </c>
      <c r="K27" s="47" t="str">
        <f t="shared" si="2"/>
        <v>100</v>
      </c>
      <c r="L27" s="5"/>
    </row>
    <row r="28" spans="1:18" s="2" customFormat="1" x14ac:dyDescent="0.25">
      <c r="A28" s="52"/>
      <c r="B28" s="16" t="s">
        <v>33</v>
      </c>
      <c r="C28" s="112" t="s">
        <v>100</v>
      </c>
      <c r="D28" s="109">
        <v>0.68055555555555547</v>
      </c>
      <c r="E28" s="109">
        <v>0.75</v>
      </c>
      <c r="F28" s="100">
        <f t="shared" si="0"/>
        <v>100</v>
      </c>
      <c r="G28" s="110">
        <f t="shared" si="1"/>
        <v>2</v>
      </c>
      <c r="H28" s="111" t="s">
        <v>129</v>
      </c>
      <c r="I28" s="112" t="s">
        <v>13</v>
      </c>
      <c r="J28" s="112" t="s">
        <v>127</v>
      </c>
      <c r="K28" s="13" t="str">
        <f t="shared" si="2"/>
        <v>100</v>
      </c>
      <c r="L28" s="5"/>
    </row>
    <row r="29" spans="1:18" s="2" customFormat="1" x14ac:dyDescent="0.25">
      <c r="A29" s="52"/>
      <c r="B29" s="16" t="s">
        <v>33</v>
      </c>
      <c r="C29" s="112" t="s">
        <v>100</v>
      </c>
      <c r="D29" s="109">
        <v>0.41666666666666669</v>
      </c>
      <c r="E29" s="109">
        <v>0.4861111111111111</v>
      </c>
      <c r="F29" s="100">
        <f t="shared" si="0"/>
        <v>100</v>
      </c>
      <c r="G29" s="110">
        <f t="shared" si="1"/>
        <v>2</v>
      </c>
      <c r="H29" s="111" t="s">
        <v>129</v>
      </c>
      <c r="I29" s="112" t="s">
        <v>13</v>
      </c>
      <c r="J29" s="112" t="s">
        <v>128</v>
      </c>
      <c r="K29" s="13" t="str">
        <f t="shared" si="2"/>
        <v>100</v>
      </c>
      <c r="L29" s="5"/>
    </row>
    <row r="30" spans="1:18" s="2" customFormat="1" x14ac:dyDescent="0.25">
      <c r="A30" s="52"/>
      <c r="B30" s="16" t="s">
        <v>33</v>
      </c>
      <c r="C30" s="44" t="s">
        <v>106</v>
      </c>
      <c r="D30" s="47">
        <v>0.54166666666666663</v>
      </c>
      <c r="E30" s="47">
        <v>0.61111111111111105</v>
      </c>
      <c r="F30" s="51">
        <f t="shared" si="0"/>
        <v>100</v>
      </c>
      <c r="G30" s="49">
        <f t="shared" si="1"/>
        <v>2</v>
      </c>
      <c r="H30" s="50" t="s">
        <v>67</v>
      </c>
      <c r="I30" s="49" t="s">
        <v>13</v>
      </c>
      <c r="J30" s="51" t="s">
        <v>86</v>
      </c>
      <c r="K30" s="47" t="str">
        <f t="shared" si="2"/>
        <v>100</v>
      </c>
      <c r="L30" s="5"/>
    </row>
    <row r="31" spans="1:18" s="2" customFormat="1" x14ac:dyDescent="0.25">
      <c r="A31" s="52"/>
      <c r="B31" s="16" t="s">
        <v>33</v>
      </c>
      <c r="C31" s="44" t="s">
        <v>106</v>
      </c>
      <c r="D31" s="47">
        <v>0.3611111111111111</v>
      </c>
      <c r="E31" s="47">
        <v>0.43055555555555558</v>
      </c>
      <c r="F31" s="51">
        <f t="shared" si="0"/>
        <v>100</v>
      </c>
      <c r="G31" s="49">
        <f t="shared" si="1"/>
        <v>2</v>
      </c>
      <c r="H31" s="50" t="s">
        <v>67</v>
      </c>
      <c r="I31" s="49" t="s">
        <v>13</v>
      </c>
      <c r="J31" s="51" t="s">
        <v>89</v>
      </c>
      <c r="K31" s="47" t="str">
        <f t="shared" si="2"/>
        <v>100</v>
      </c>
      <c r="L31" s="5"/>
      <c r="R31" s="2" t="s">
        <v>27</v>
      </c>
    </row>
    <row r="32" spans="1:18" s="2" customFormat="1" x14ac:dyDescent="0.25">
      <c r="A32" s="52"/>
      <c r="B32" s="16" t="s">
        <v>33</v>
      </c>
      <c r="C32" s="44" t="s">
        <v>106</v>
      </c>
      <c r="D32" s="47">
        <v>0.43055555555555558</v>
      </c>
      <c r="E32" s="47">
        <v>0.5</v>
      </c>
      <c r="F32" s="51">
        <f t="shared" si="0"/>
        <v>100</v>
      </c>
      <c r="G32" s="49">
        <f t="shared" si="1"/>
        <v>2</v>
      </c>
      <c r="H32" s="50" t="s">
        <v>67</v>
      </c>
      <c r="I32" s="49" t="s">
        <v>13</v>
      </c>
      <c r="J32" s="51" t="s">
        <v>90</v>
      </c>
      <c r="K32" s="47" t="str">
        <f t="shared" si="2"/>
        <v>100</v>
      </c>
      <c r="L32" s="5"/>
    </row>
    <row r="33" spans="1:12" s="2" customFormat="1" x14ac:dyDescent="0.25">
      <c r="A33" s="52"/>
      <c r="B33" s="16" t="s">
        <v>33</v>
      </c>
      <c r="C33" s="44" t="s">
        <v>99</v>
      </c>
      <c r="D33" s="45">
        <v>0.61111111111111105</v>
      </c>
      <c r="E33" s="45">
        <v>0.68055555555555547</v>
      </c>
      <c r="F33" s="51">
        <f t="shared" si="0"/>
        <v>100</v>
      </c>
      <c r="G33" s="32">
        <v>2</v>
      </c>
      <c r="H33" s="43" t="s">
        <v>52</v>
      </c>
      <c r="I33" s="46" t="s">
        <v>31</v>
      </c>
      <c r="J33" s="46" t="s">
        <v>19</v>
      </c>
      <c r="K33" s="47" t="str">
        <f t="shared" si="2"/>
        <v>100</v>
      </c>
      <c r="L33" s="5"/>
    </row>
    <row r="34" spans="1:12" s="2" customFormat="1" x14ac:dyDescent="0.25">
      <c r="A34" s="52"/>
      <c r="B34" s="16" t="s">
        <v>33</v>
      </c>
      <c r="C34" s="44" t="s">
        <v>99</v>
      </c>
      <c r="D34" s="45">
        <v>0.54166666666666663</v>
      </c>
      <c r="E34" s="45">
        <v>0.61111111111111105</v>
      </c>
      <c r="F34" s="46">
        <v>100</v>
      </c>
      <c r="G34" s="32">
        <v>2</v>
      </c>
      <c r="H34" s="43" t="s">
        <v>52</v>
      </c>
      <c r="I34" s="46" t="s">
        <v>31</v>
      </c>
      <c r="J34" s="46" t="s">
        <v>18</v>
      </c>
      <c r="K34" s="46">
        <v>100</v>
      </c>
      <c r="L34" s="5"/>
    </row>
    <row r="35" spans="1:12" s="2" customFormat="1" x14ac:dyDescent="0.25">
      <c r="A35" s="52"/>
      <c r="B35" s="16" t="s">
        <v>33</v>
      </c>
      <c r="C35" s="44" t="s">
        <v>102</v>
      </c>
      <c r="D35" s="45">
        <v>0.61111111111111105</v>
      </c>
      <c r="E35" s="45">
        <v>0.68055555555555547</v>
      </c>
      <c r="F35" s="46">
        <v>100</v>
      </c>
      <c r="G35" s="32">
        <v>2</v>
      </c>
      <c r="H35" s="43" t="s">
        <v>112</v>
      </c>
      <c r="I35" s="46" t="s">
        <v>13</v>
      </c>
      <c r="J35" s="46" t="s">
        <v>17</v>
      </c>
      <c r="K35" s="46">
        <v>100</v>
      </c>
      <c r="L35" s="5"/>
    </row>
    <row r="36" spans="1:12" s="2" customFormat="1" x14ac:dyDescent="0.25">
      <c r="A36" s="52"/>
      <c r="B36" s="16" t="s">
        <v>33</v>
      </c>
      <c r="C36" s="44" t="s">
        <v>102</v>
      </c>
      <c r="D36" s="45">
        <v>0.43055555555555558</v>
      </c>
      <c r="E36" s="45">
        <v>0.5</v>
      </c>
      <c r="F36" s="46">
        <v>100</v>
      </c>
      <c r="G36" s="32">
        <v>2</v>
      </c>
      <c r="H36" s="43" t="s">
        <v>112</v>
      </c>
      <c r="I36" s="46" t="s">
        <v>13</v>
      </c>
      <c r="J36" s="46" t="s">
        <v>18</v>
      </c>
      <c r="K36" s="46">
        <v>100</v>
      </c>
      <c r="L36" s="5"/>
    </row>
    <row r="37" spans="1:12" s="2" customFormat="1" x14ac:dyDescent="0.25">
      <c r="A37" s="52"/>
      <c r="B37" s="16" t="s">
        <v>33</v>
      </c>
      <c r="C37" s="112" t="s">
        <v>123</v>
      </c>
      <c r="D37" s="109">
        <v>0.68055555555555547</v>
      </c>
      <c r="E37" s="109">
        <v>0.75</v>
      </c>
      <c r="F37" s="100">
        <f>VALUE(K37)</f>
        <v>100</v>
      </c>
      <c r="G37" s="110">
        <f>IF(F37&gt;=300,6,IF(F37&gt;=250,5,IF(F37&gt;=200,4,IF(F37&gt;=150,3,IF(F37&gt;=100,2,IF(F37&gt;=50,1,0))))))</f>
        <v>2</v>
      </c>
      <c r="H37" s="111" t="s">
        <v>129</v>
      </c>
      <c r="I37" s="112" t="s">
        <v>13</v>
      </c>
      <c r="J37" s="112" t="s">
        <v>127</v>
      </c>
      <c r="K37" s="13" t="str">
        <f>TEXT(E37-D37,"[mm]")</f>
        <v>100</v>
      </c>
      <c r="L37" s="5"/>
    </row>
    <row r="38" spans="1:12" s="2" customFormat="1" x14ac:dyDescent="0.25">
      <c r="A38" s="96"/>
      <c r="B38" s="16" t="s">
        <v>33</v>
      </c>
      <c r="C38" s="112" t="s">
        <v>125</v>
      </c>
      <c r="D38" s="109">
        <v>0.66666666666666663</v>
      </c>
      <c r="E38" s="109">
        <v>0.73611111111111116</v>
      </c>
      <c r="F38" s="100">
        <f>VALUE(K38)</f>
        <v>100</v>
      </c>
      <c r="G38" s="110">
        <f>IF(F38&gt;=300,6,IF(F38&gt;=250,5,IF(F38&gt;=200,4,IF(F38&gt;=150,3,IF(F38&gt;=100,2,IF(F38&gt;=50,1,0))))))</f>
        <v>2</v>
      </c>
      <c r="H38" s="111" t="s">
        <v>129</v>
      </c>
      <c r="I38" s="112" t="s">
        <v>13</v>
      </c>
      <c r="J38" s="112" t="s">
        <v>128</v>
      </c>
      <c r="K38" s="13" t="str">
        <f>TEXT(E38-D38,"[mm]")</f>
        <v>100</v>
      </c>
      <c r="L38" s="5"/>
    </row>
    <row r="39" spans="1:12" s="2" customFormat="1" x14ac:dyDescent="0.25">
      <c r="A39" s="72"/>
      <c r="B39" s="73"/>
      <c r="C39" s="74"/>
      <c r="D39" s="75"/>
      <c r="E39" s="75"/>
      <c r="F39" s="55"/>
      <c r="G39" s="56"/>
      <c r="H39" s="76"/>
      <c r="I39" s="56"/>
      <c r="J39" s="56"/>
      <c r="K39" s="75"/>
    </row>
    <row r="40" spans="1:12" s="12" customFormat="1" x14ac:dyDescent="0.25">
      <c r="A40" s="63">
        <v>2</v>
      </c>
      <c r="B40" t="s">
        <v>37</v>
      </c>
      <c r="C40" s="83" t="s">
        <v>109</v>
      </c>
      <c r="D40" s="84">
        <v>0.3611111111111111</v>
      </c>
      <c r="E40" s="84">
        <v>0.39583333333333331</v>
      </c>
      <c r="F40" s="97">
        <f t="shared" ref="F40:F72" si="3">VALUE(K40)</f>
        <v>50</v>
      </c>
      <c r="G40" s="99">
        <f t="shared" ref="G40:G72" si="4">IF(F40&gt;=300,6,IF(F40&gt;=250,5,IF(F40&gt;=200,4,IF(F40&gt;=150,3,IF(F40&gt;=100,2,IF(F40&gt;=50,1,0))))))</f>
        <v>1</v>
      </c>
      <c r="H40" s="140" t="s">
        <v>41</v>
      </c>
      <c r="I40" s="10" t="s">
        <v>13</v>
      </c>
      <c r="J40" s="10" t="s">
        <v>19</v>
      </c>
      <c r="K40" s="87" t="str">
        <f t="shared" ref="K40:K72" si="5">TEXT(E40-D40,"[mm]")</f>
        <v>50</v>
      </c>
    </row>
    <row r="41" spans="1:12" s="12" customFormat="1" x14ac:dyDescent="0.25">
      <c r="A41" s="63"/>
      <c r="B41" s="43" t="s">
        <v>37</v>
      </c>
      <c r="C41" s="44" t="s">
        <v>109</v>
      </c>
      <c r="D41" s="45">
        <v>0.3611111111111111</v>
      </c>
      <c r="E41" s="45">
        <v>0.43055555555555558</v>
      </c>
      <c r="F41" s="51">
        <f t="shared" si="3"/>
        <v>100</v>
      </c>
      <c r="G41" s="49">
        <f t="shared" si="4"/>
        <v>2</v>
      </c>
      <c r="H41" s="68" t="s">
        <v>41</v>
      </c>
      <c r="I41" s="46" t="s">
        <v>31</v>
      </c>
      <c r="J41" s="46" t="s">
        <v>19</v>
      </c>
      <c r="K41" s="47" t="str">
        <f t="shared" si="5"/>
        <v>100</v>
      </c>
    </row>
    <row r="42" spans="1:12" s="12" customFormat="1" x14ac:dyDescent="0.25">
      <c r="A42" s="63"/>
      <c r="B42" s="43" t="s">
        <v>37</v>
      </c>
      <c r="C42" s="44" t="s">
        <v>97</v>
      </c>
      <c r="D42" s="45">
        <v>0.3263888888888889</v>
      </c>
      <c r="E42" s="45">
        <v>0.3611111111111111</v>
      </c>
      <c r="F42" s="51">
        <f t="shared" si="3"/>
        <v>50</v>
      </c>
      <c r="G42" s="49">
        <f t="shared" si="4"/>
        <v>1</v>
      </c>
      <c r="H42" s="68" t="s">
        <v>42</v>
      </c>
      <c r="I42" s="46" t="s">
        <v>13</v>
      </c>
      <c r="J42" s="46" t="s">
        <v>18</v>
      </c>
      <c r="K42" s="47" t="str">
        <f t="shared" si="5"/>
        <v>50</v>
      </c>
    </row>
    <row r="43" spans="1:12" s="12" customFormat="1" x14ac:dyDescent="0.25">
      <c r="A43" s="63"/>
      <c r="B43" s="43" t="s">
        <v>37</v>
      </c>
      <c r="C43" s="51" t="s">
        <v>135</v>
      </c>
      <c r="D43" s="45">
        <v>0.54166666666666663</v>
      </c>
      <c r="E43" s="45">
        <v>0.61111111111111105</v>
      </c>
      <c r="F43" s="51">
        <f t="shared" si="3"/>
        <v>100</v>
      </c>
      <c r="G43" s="49">
        <f t="shared" si="4"/>
        <v>2</v>
      </c>
      <c r="H43" s="70" t="s">
        <v>30</v>
      </c>
      <c r="I43" s="51" t="s">
        <v>31</v>
      </c>
      <c r="J43" s="51" t="s">
        <v>15</v>
      </c>
      <c r="K43" s="47" t="str">
        <f t="shared" si="5"/>
        <v>100</v>
      </c>
    </row>
    <row r="44" spans="1:12" s="12" customFormat="1" x14ac:dyDescent="0.25">
      <c r="A44" s="63"/>
      <c r="B44" s="43" t="s">
        <v>37</v>
      </c>
      <c r="C44" s="51" t="s">
        <v>135</v>
      </c>
      <c r="D44" s="45">
        <v>0.61111111111111105</v>
      </c>
      <c r="E44" s="45">
        <v>0.68055555555555558</v>
      </c>
      <c r="F44" s="51">
        <f t="shared" si="3"/>
        <v>100</v>
      </c>
      <c r="G44" s="49">
        <f t="shared" si="4"/>
        <v>2</v>
      </c>
      <c r="H44" s="70" t="s">
        <v>30</v>
      </c>
      <c r="I44" s="51" t="s">
        <v>31</v>
      </c>
      <c r="J44" s="51" t="s">
        <v>16</v>
      </c>
      <c r="K44" s="47" t="str">
        <f t="shared" si="5"/>
        <v>100</v>
      </c>
    </row>
    <row r="45" spans="1:12" s="12" customFormat="1" x14ac:dyDescent="0.25">
      <c r="A45" s="63"/>
      <c r="B45" s="43" t="s">
        <v>37</v>
      </c>
      <c r="C45" s="44" t="s">
        <v>108</v>
      </c>
      <c r="D45" s="45">
        <v>0.43055555555555558</v>
      </c>
      <c r="E45" s="45">
        <v>0.5</v>
      </c>
      <c r="F45" s="51">
        <f t="shared" si="3"/>
        <v>100</v>
      </c>
      <c r="G45" s="49">
        <f t="shared" si="4"/>
        <v>2</v>
      </c>
      <c r="H45" s="141" t="s">
        <v>41</v>
      </c>
      <c r="I45" s="46" t="s">
        <v>31</v>
      </c>
      <c r="J45" s="46" t="s">
        <v>17</v>
      </c>
      <c r="K45" s="47" t="str">
        <f t="shared" si="5"/>
        <v>100</v>
      </c>
    </row>
    <row r="46" spans="1:12" s="12" customFormat="1" x14ac:dyDescent="0.25">
      <c r="A46" s="63"/>
      <c r="B46" s="43" t="s">
        <v>37</v>
      </c>
      <c r="C46" s="44" t="s">
        <v>93</v>
      </c>
      <c r="D46" s="45">
        <v>0.54166666666666663</v>
      </c>
      <c r="E46" s="45">
        <v>0.57638888888888884</v>
      </c>
      <c r="F46" s="51">
        <f t="shared" si="3"/>
        <v>50</v>
      </c>
      <c r="G46" s="49">
        <f t="shared" si="4"/>
        <v>1</v>
      </c>
      <c r="H46" s="68" t="s">
        <v>41</v>
      </c>
      <c r="I46" s="46" t="s">
        <v>13</v>
      </c>
      <c r="J46" s="46" t="s">
        <v>18</v>
      </c>
      <c r="K46" s="47" t="str">
        <f t="shared" si="5"/>
        <v>50</v>
      </c>
    </row>
    <row r="47" spans="1:12" s="12" customFormat="1" x14ac:dyDescent="0.25">
      <c r="A47" s="63"/>
      <c r="B47" s="43" t="s">
        <v>37</v>
      </c>
      <c r="C47" s="44" t="s">
        <v>93</v>
      </c>
      <c r="D47" s="45">
        <v>0.3263888888888889</v>
      </c>
      <c r="E47" s="45">
        <v>0.39583333333333331</v>
      </c>
      <c r="F47" s="51">
        <f t="shared" si="3"/>
        <v>100</v>
      </c>
      <c r="G47" s="49">
        <f t="shared" si="4"/>
        <v>2</v>
      </c>
      <c r="H47" s="68" t="s">
        <v>41</v>
      </c>
      <c r="I47" s="46" t="s">
        <v>31</v>
      </c>
      <c r="J47" s="46" t="s">
        <v>18</v>
      </c>
      <c r="K47" s="47" t="str">
        <f t="shared" si="5"/>
        <v>100</v>
      </c>
    </row>
    <row r="48" spans="1:12" s="12" customFormat="1" x14ac:dyDescent="0.25">
      <c r="A48" s="63"/>
      <c r="B48" s="43" t="s">
        <v>37</v>
      </c>
      <c r="C48" s="44" t="s">
        <v>93</v>
      </c>
      <c r="D48" s="45">
        <v>0.3611111111111111</v>
      </c>
      <c r="E48" s="45">
        <v>0.39583333333333331</v>
      </c>
      <c r="F48" s="51">
        <f t="shared" si="3"/>
        <v>50</v>
      </c>
      <c r="G48" s="49">
        <f t="shared" si="4"/>
        <v>1</v>
      </c>
      <c r="H48" s="68" t="s">
        <v>41</v>
      </c>
      <c r="I48" s="46" t="s">
        <v>13</v>
      </c>
      <c r="J48" s="46" t="s">
        <v>17</v>
      </c>
      <c r="K48" s="47" t="str">
        <f t="shared" si="5"/>
        <v>50</v>
      </c>
    </row>
    <row r="49" spans="1:11" s="12" customFormat="1" x14ac:dyDescent="0.25">
      <c r="A49" s="63"/>
      <c r="B49" s="43" t="s">
        <v>37</v>
      </c>
      <c r="C49" s="44" t="s">
        <v>93</v>
      </c>
      <c r="D49" s="45">
        <v>0.39583333333333331</v>
      </c>
      <c r="E49" s="45">
        <v>0.43055555555555558</v>
      </c>
      <c r="F49" s="51">
        <f t="shared" si="3"/>
        <v>50</v>
      </c>
      <c r="G49" s="49">
        <f t="shared" si="4"/>
        <v>1</v>
      </c>
      <c r="H49" s="141" t="s">
        <v>41</v>
      </c>
      <c r="I49" s="46" t="s">
        <v>13</v>
      </c>
      <c r="J49" s="46" t="s">
        <v>19</v>
      </c>
      <c r="K49" s="47" t="str">
        <f t="shared" si="5"/>
        <v>50</v>
      </c>
    </row>
    <row r="50" spans="1:11" s="12" customFormat="1" x14ac:dyDescent="0.25">
      <c r="A50" s="63"/>
      <c r="B50" s="43" t="s">
        <v>37</v>
      </c>
      <c r="C50" s="44" t="s">
        <v>93</v>
      </c>
      <c r="D50" s="45">
        <v>0.61111111111111105</v>
      </c>
      <c r="E50" s="45">
        <v>0.68055555555555547</v>
      </c>
      <c r="F50" s="51">
        <f t="shared" si="3"/>
        <v>100</v>
      </c>
      <c r="G50" s="49">
        <f t="shared" si="4"/>
        <v>2</v>
      </c>
      <c r="H50" s="68" t="s">
        <v>41</v>
      </c>
      <c r="I50" s="46" t="s">
        <v>31</v>
      </c>
      <c r="J50" s="46" t="s">
        <v>19</v>
      </c>
      <c r="K50" s="47" t="str">
        <f t="shared" si="5"/>
        <v>100</v>
      </c>
    </row>
    <row r="51" spans="1:11" s="12" customFormat="1" x14ac:dyDescent="0.25">
      <c r="A51" s="63"/>
      <c r="B51" s="43" t="s">
        <v>37</v>
      </c>
      <c r="C51" s="139" t="s">
        <v>124</v>
      </c>
      <c r="D51" s="45">
        <v>0.54166666666666663</v>
      </c>
      <c r="E51" s="45">
        <v>0.61111111111111105</v>
      </c>
      <c r="F51" s="51">
        <f t="shared" si="3"/>
        <v>100</v>
      </c>
      <c r="G51" s="49">
        <f t="shared" si="4"/>
        <v>2</v>
      </c>
      <c r="H51" s="70" t="s">
        <v>30</v>
      </c>
      <c r="I51" s="51" t="s">
        <v>31</v>
      </c>
      <c r="J51" s="51" t="s">
        <v>14</v>
      </c>
      <c r="K51" s="47" t="str">
        <f t="shared" si="5"/>
        <v>100</v>
      </c>
    </row>
    <row r="52" spans="1:11" s="12" customFormat="1" x14ac:dyDescent="0.25">
      <c r="A52" s="63"/>
      <c r="B52" s="43" t="s">
        <v>37</v>
      </c>
      <c r="C52" s="44" t="s">
        <v>94</v>
      </c>
      <c r="D52" s="45">
        <v>0.29166666666666669</v>
      </c>
      <c r="E52" s="45">
        <v>0.3263888888888889</v>
      </c>
      <c r="F52" s="51">
        <f t="shared" si="3"/>
        <v>50</v>
      </c>
      <c r="G52" s="49">
        <f t="shared" si="4"/>
        <v>1</v>
      </c>
      <c r="H52" s="68" t="s">
        <v>42</v>
      </c>
      <c r="I52" s="46" t="s">
        <v>13</v>
      </c>
      <c r="J52" s="46" t="s">
        <v>17</v>
      </c>
      <c r="K52" s="47" t="str">
        <f t="shared" si="5"/>
        <v>50</v>
      </c>
    </row>
    <row r="53" spans="1:11" s="12" customFormat="1" x14ac:dyDescent="0.25">
      <c r="A53" s="63"/>
      <c r="B53" s="43" t="s">
        <v>37</v>
      </c>
      <c r="C53" s="44" t="s">
        <v>94</v>
      </c>
      <c r="D53" s="45">
        <v>0.3611111111111111</v>
      </c>
      <c r="E53" s="45">
        <v>0.39583333333333331</v>
      </c>
      <c r="F53" s="51">
        <f t="shared" si="3"/>
        <v>50</v>
      </c>
      <c r="G53" s="49">
        <f t="shared" si="4"/>
        <v>1</v>
      </c>
      <c r="H53" s="68" t="s">
        <v>42</v>
      </c>
      <c r="I53" s="46" t="s">
        <v>13</v>
      </c>
      <c r="J53" s="46" t="s">
        <v>17</v>
      </c>
      <c r="K53" s="47" t="str">
        <f t="shared" si="5"/>
        <v>50</v>
      </c>
    </row>
    <row r="54" spans="1:11" s="12" customFormat="1" x14ac:dyDescent="0.25">
      <c r="A54" s="63"/>
      <c r="B54" s="43" t="s">
        <v>37</v>
      </c>
      <c r="C54" s="44" t="s">
        <v>94</v>
      </c>
      <c r="D54" s="45">
        <v>0.61111111111111105</v>
      </c>
      <c r="E54" s="45">
        <v>0.68055555555555547</v>
      </c>
      <c r="F54" s="51">
        <f t="shared" si="3"/>
        <v>100</v>
      </c>
      <c r="G54" s="49">
        <f t="shared" si="4"/>
        <v>2</v>
      </c>
      <c r="H54" s="68" t="s">
        <v>42</v>
      </c>
      <c r="I54" s="46" t="s">
        <v>13</v>
      </c>
      <c r="J54" s="46" t="s">
        <v>19</v>
      </c>
      <c r="K54" s="47" t="str">
        <f t="shared" si="5"/>
        <v>100</v>
      </c>
    </row>
    <row r="55" spans="1:11" s="12" customFormat="1" x14ac:dyDescent="0.25">
      <c r="A55" s="63"/>
      <c r="B55" s="43" t="s">
        <v>37</v>
      </c>
      <c r="C55" s="44" t="s">
        <v>98</v>
      </c>
      <c r="D55" s="45">
        <v>0.54166666666666663</v>
      </c>
      <c r="E55" s="45">
        <v>0.57638888888888895</v>
      </c>
      <c r="F55" s="51">
        <f t="shared" si="3"/>
        <v>50</v>
      </c>
      <c r="G55" s="49">
        <f t="shared" si="4"/>
        <v>1</v>
      </c>
      <c r="H55" s="68" t="s">
        <v>41</v>
      </c>
      <c r="I55" s="46" t="s">
        <v>13</v>
      </c>
      <c r="J55" s="46" t="s">
        <v>18</v>
      </c>
      <c r="K55" s="47" t="str">
        <f t="shared" si="5"/>
        <v>50</v>
      </c>
    </row>
    <row r="56" spans="1:11" s="12" customFormat="1" x14ac:dyDescent="0.25">
      <c r="A56" s="63"/>
      <c r="B56" s="43" t="s">
        <v>37</v>
      </c>
      <c r="C56" s="44" t="s">
        <v>98</v>
      </c>
      <c r="D56" s="45">
        <v>0.3263888888888889</v>
      </c>
      <c r="E56" s="45">
        <v>0.3611111111111111</v>
      </c>
      <c r="F56" s="51">
        <f t="shared" si="3"/>
        <v>50</v>
      </c>
      <c r="G56" s="49">
        <f t="shared" si="4"/>
        <v>1</v>
      </c>
      <c r="H56" s="68" t="s">
        <v>42</v>
      </c>
      <c r="I56" s="46" t="s">
        <v>13</v>
      </c>
      <c r="J56" s="46" t="s">
        <v>18</v>
      </c>
      <c r="K56" s="47" t="str">
        <f t="shared" si="5"/>
        <v>50</v>
      </c>
    </row>
    <row r="57" spans="1:11" s="12" customFormat="1" x14ac:dyDescent="0.25">
      <c r="A57" s="63"/>
      <c r="B57" s="43" t="s">
        <v>37</v>
      </c>
      <c r="C57" s="51" t="s">
        <v>136</v>
      </c>
      <c r="D57" s="45">
        <v>0.54166666666666663</v>
      </c>
      <c r="E57" s="45">
        <v>0.61111111111111105</v>
      </c>
      <c r="F57" s="51">
        <f t="shared" si="3"/>
        <v>100</v>
      </c>
      <c r="G57" s="49">
        <f t="shared" si="4"/>
        <v>2</v>
      </c>
      <c r="H57" s="70" t="s">
        <v>30</v>
      </c>
      <c r="I57" s="51" t="s">
        <v>31</v>
      </c>
      <c r="J57" s="51" t="s">
        <v>15</v>
      </c>
      <c r="K57" s="47" t="str">
        <f t="shared" si="5"/>
        <v>100</v>
      </c>
    </row>
    <row r="58" spans="1:11" s="12" customFormat="1" x14ac:dyDescent="0.25">
      <c r="A58" s="63"/>
      <c r="B58" s="43" t="s">
        <v>37</v>
      </c>
      <c r="C58" s="51" t="s">
        <v>136</v>
      </c>
      <c r="D58" s="45">
        <v>0.61111111111111105</v>
      </c>
      <c r="E58" s="45">
        <v>0.68055555555555558</v>
      </c>
      <c r="F58" s="51">
        <f t="shared" si="3"/>
        <v>100</v>
      </c>
      <c r="G58" s="49">
        <f t="shared" si="4"/>
        <v>2</v>
      </c>
      <c r="H58" s="70" t="s">
        <v>30</v>
      </c>
      <c r="I58" s="51" t="s">
        <v>31</v>
      </c>
      <c r="J58" s="51" t="s">
        <v>16</v>
      </c>
      <c r="K58" s="47" t="str">
        <f t="shared" si="5"/>
        <v>100</v>
      </c>
    </row>
    <row r="59" spans="1:11" s="12" customFormat="1" x14ac:dyDescent="0.25">
      <c r="A59" s="63"/>
      <c r="B59" s="43" t="s">
        <v>37</v>
      </c>
      <c r="C59" s="51" t="s">
        <v>137</v>
      </c>
      <c r="D59" s="45">
        <v>0.54166666666666663</v>
      </c>
      <c r="E59" s="45">
        <v>0.61111111111111105</v>
      </c>
      <c r="F59" s="51">
        <f t="shared" si="3"/>
        <v>100</v>
      </c>
      <c r="G59" s="49">
        <f t="shared" si="4"/>
        <v>2</v>
      </c>
      <c r="H59" s="70" t="s">
        <v>30</v>
      </c>
      <c r="I59" s="51" t="s">
        <v>31</v>
      </c>
      <c r="J59" s="51" t="s">
        <v>14</v>
      </c>
      <c r="K59" s="47" t="str">
        <f t="shared" si="5"/>
        <v>100</v>
      </c>
    </row>
    <row r="60" spans="1:11" s="12" customFormat="1" x14ac:dyDescent="0.25">
      <c r="A60" s="63"/>
      <c r="B60" s="43" t="s">
        <v>37</v>
      </c>
      <c r="C60" s="44" t="s">
        <v>101</v>
      </c>
      <c r="D60" s="45">
        <v>0.3611111111111111</v>
      </c>
      <c r="E60" s="45">
        <v>0.39583333333333331</v>
      </c>
      <c r="F60" s="51">
        <f t="shared" si="3"/>
        <v>50</v>
      </c>
      <c r="G60" s="49">
        <f t="shared" si="4"/>
        <v>1</v>
      </c>
      <c r="H60" s="141" t="s">
        <v>41</v>
      </c>
      <c r="I60" s="46" t="s">
        <v>13</v>
      </c>
      <c r="J60" s="46" t="s">
        <v>17</v>
      </c>
      <c r="K60" s="47" t="str">
        <f t="shared" si="5"/>
        <v>50</v>
      </c>
    </row>
    <row r="61" spans="1:11" s="12" customFormat="1" x14ac:dyDescent="0.25">
      <c r="A61" s="63"/>
      <c r="B61" s="43" t="s">
        <v>37</v>
      </c>
      <c r="C61" s="44" t="s">
        <v>101</v>
      </c>
      <c r="D61" s="45">
        <v>0.43055555555555558</v>
      </c>
      <c r="E61" s="45">
        <v>0.5</v>
      </c>
      <c r="F61" s="51">
        <f t="shared" si="3"/>
        <v>100</v>
      </c>
      <c r="G61" s="49">
        <f t="shared" si="4"/>
        <v>2</v>
      </c>
      <c r="H61" s="141" t="s">
        <v>41</v>
      </c>
      <c r="I61" s="46" t="s">
        <v>31</v>
      </c>
      <c r="J61" s="46" t="s">
        <v>17</v>
      </c>
      <c r="K61" s="47" t="str">
        <f t="shared" si="5"/>
        <v>100</v>
      </c>
    </row>
    <row r="62" spans="1:11" s="12" customFormat="1" x14ac:dyDescent="0.25">
      <c r="A62" s="63"/>
      <c r="B62" s="43" t="s">
        <v>37</v>
      </c>
      <c r="C62" s="44" t="s">
        <v>101</v>
      </c>
      <c r="D62" s="45">
        <v>0.39583333333333331</v>
      </c>
      <c r="E62" s="45">
        <v>0.43055555555555558</v>
      </c>
      <c r="F62" s="51">
        <f t="shared" si="3"/>
        <v>50</v>
      </c>
      <c r="G62" s="49">
        <f t="shared" si="4"/>
        <v>1</v>
      </c>
      <c r="H62" s="68" t="s">
        <v>41</v>
      </c>
      <c r="I62" s="46" t="s">
        <v>13</v>
      </c>
      <c r="J62" s="46" t="s">
        <v>18</v>
      </c>
      <c r="K62" s="47" t="str">
        <f t="shared" si="5"/>
        <v>50</v>
      </c>
    </row>
    <row r="63" spans="1:11" s="12" customFormat="1" x14ac:dyDescent="0.25">
      <c r="A63" s="63"/>
      <c r="B63" s="43" t="s">
        <v>37</v>
      </c>
      <c r="C63" s="44" t="s">
        <v>101</v>
      </c>
      <c r="D63" s="45">
        <v>0.29166666666666669</v>
      </c>
      <c r="E63" s="45">
        <v>0.3611111111111111</v>
      </c>
      <c r="F63" s="51">
        <f t="shared" si="3"/>
        <v>100</v>
      </c>
      <c r="G63" s="49">
        <f t="shared" si="4"/>
        <v>2</v>
      </c>
      <c r="H63" s="141" t="s">
        <v>41</v>
      </c>
      <c r="I63" s="46" t="s">
        <v>31</v>
      </c>
      <c r="J63" s="46" t="s">
        <v>18</v>
      </c>
      <c r="K63" s="47" t="str">
        <f t="shared" si="5"/>
        <v>100</v>
      </c>
    </row>
    <row r="64" spans="1:11" s="12" customFormat="1" x14ac:dyDescent="0.25">
      <c r="A64" s="63"/>
      <c r="B64" s="43" t="s">
        <v>37</v>
      </c>
      <c r="C64" s="44" t="s">
        <v>101</v>
      </c>
      <c r="D64" s="45">
        <v>0.3611111111111111</v>
      </c>
      <c r="E64" s="45">
        <v>0.43055555555555558</v>
      </c>
      <c r="F64" s="51">
        <f t="shared" si="3"/>
        <v>100</v>
      </c>
      <c r="G64" s="49">
        <f t="shared" si="4"/>
        <v>2</v>
      </c>
      <c r="H64" s="68" t="s">
        <v>41</v>
      </c>
      <c r="I64" s="46" t="s">
        <v>31</v>
      </c>
      <c r="J64" s="46" t="s">
        <v>19</v>
      </c>
      <c r="K64" s="47" t="str">
        <f t="shared" si="5"/>
        <v>100</v>
      </c>
    </row>
    <row r="65" spans="1:15" s="12" customFormat="1" x14ac:dyDescent="0.25">
      <c r="A65" s="63"/>
      <c r="B65" s="43" t="s">
        <v>37</v>
      </c>
      <c r="C65" s="44" t="s">
        <v>100</v>
      </c>
      <c r="D65" s="45">
        <v>0.61111111111111105</v>
      </c>
      <c r="E65" s="45">
        <v>0.68055555555555558</v>
      </c>
      <c r="F65" s="51">
        <f t="shared" si="3"/>
        <v>100</v>
      </c>
      <c r="G65" s="49">
        <f t="shared" si="4"/>
        <v>2</v>
      </c>
      <c r="H65" s="68" t="s">
        <v>42</v>
      </c>
      <c r="I65" s="46" t="s">
        <v>13</v>
      </c>
      <c r="J65" s="46" t="s">
        <v>19</v>
      </c>
      <c r="K65" s="47" t="str">
        <f t="shared" si="5"/>
        <v>100</v>
      </c>
    </row>
    <row r="66" spans="1:15" s="12" customFormat="1" x14ac:dyDescent="0.25">
      <c r="A66" s="63"/>
      <c r="B66" s="43" t="s">
        <v>37</v>
      </c>
      <c r="C66" s="44" t="s">
        <v>99</v>
      </c>
      <c r="D66" s="45">
        <v>0.46527777777777779</v>
      </c>
      <c r="E66" s="45">
        <v>0.5</v>
      </c>
      <c r="F66" s="51">
        <f t="shared" si="3"/>
        <v>50</v>
      </c>
      <c r="G66" s="49">
        <f t="shared" si="4"/>
        <v>1</v>
      </c>
      <c r="H66" s="141" t="s">
        <v>41</v>
      </c>
      <c r="I66" s="46" t="s">
        <v>13</v>
      </c>
      <c r="J66" s="46" t="s">
        <v>19</v>
      </c>
      <c r="K66" s="47" t="str">
        <f t="shared" si="5"/>
        <v>50</v>
      </c>
    </row>
    <row r="67" spans="1:15" s="12" customFormat="1" x14ac:dyDescent="0.25">
      <c r="A67" s="63"/>
      <c r="B67" s="43" t="s">
        <v>37</v>
      </c>
      <c r="C67" s="44" t="s">
        <v>99</v>
      </c>
      <c r="D67" s="45">
        <v>0.3263888888888889</v>
      </c>
      <c r="E67" s="45">
        <v>0.3611111111111111</v>
      </c>
      <c r="F67" s="51">
        <f t="shared" si="3"/>
        <v>50</v>
      </c>
      <c r="G67" s="49">
        <f t="shared" si="4"/>
        <v>1</v>
      </c>
      <c r="H67" s="68" t="s">
        <v>42</v>
      </c>
      <c r="I67" s="46" t="s">
        <v>13</v>
      </c>
      <c r="J67" s="46" t="s">
        <v>18</v>
      </c>
      <c r="K67" s="47" t="str">
        <f t="shared" si="5"/>
        <v>50</v>
      </c>
    </row>
    <row r="68" spans="1:15" s="12" customFormat="1" x14ac:dyDescent="0.25">
      <c r="A68" s="63"/>
      <c r="B68" s="43" t="s">
        <v>37</v>
      </c>
      <c r="C68" s="44" t="s">
        <v>102</v>
      </c>
      <c r="D68" s="45">
        <v>0.3611111111111111</v>
      </c>
      <c r="E68" s="45">
        <v>0.43055555555555558</v>
      </c>
      <c r="F68" s="51">
        <f t="shared" si="3"/>
        <v>100</v>
      </c>
      <c r="G68" s="49">
        <f t="shared" si="4"/>
        <v>2</v>
      </c>
      <c r="H68" s="141" t="s">
        <v>41</v>
      </c>
      <c r="I68" s="46" t="s">
        <v>13</v>
      </c>
      <c r="J68" s="46" t="s">
        <v>17</v>
      </c>
      <c r="K68" s="47" t="str">
        <f t="shared" si="5"/>
        <v>100</v>
      </c>
      <c r="O68" s="12" t="s">
        <v>27</v>
      </c>
    </row>
    <row r="69" spans="1:15" s="12" customFormat="1" x14ac:dyDescent="0.25">
      <c r="A69" s="63"/>
      <c r="B69" s="43" t="s">
        <v>37</v>
      </c>
      <c r="C69" s="44" t="s">
        <v>102</v>
      </c>
      <c r="D69" s="45">
        <v>0.43055555555555558</v>
      </c>
      <c r="E69" s="45">
        <v>0.5</v>
      </c>
      <c r="F69" s="51">
        <f t="shared" si="3"/>
        <v>100</v>
      </c>
      <c r="G69" s="49">
        <f t="shared" si="4"/>
        <v>2</v>
      </c>
      <c r="H69" s="68" t="s">
        <v>41</v>
      </c>
      <c r="I69" s="46" t="s">
        <v>31</v>
      </c>
      <c r="J69" s="46" t="s">
        <v>17</v>
      </c>
      <c r="K69" s="47" t="str">
        <f t="shared" si="5"/>
        <v>100</v>
      </c>
    </row>
    <row r="70" spans="1:15" s="12" customFormat="1" x14ac:dyDescent="0.25">
      <c r="A70" s="63"/>
      <c r="B70" s="43" t="s">
        <v>37</v>
      </c>
      <c r="C70" s="44" t="s">
        <v>102</v>
      </c>
      <c r="D70" s="45">
        <v>0.29166666666666669</v>
      </c>
      <c r="E70" s="45">
        <v>0.3611111111111111</v>
      </c>
      <c r="F70" s="51">
        <f t="shared" si="3"/>
        <v>100</v>
      </c>
      <c r="G70" s="49">
        <f t="shared" si="4"/>
        <v>2</v>
      </c>
      <c r="H70" s="68" t="s">
        <v>41</v>
      </c>
      <c r="I70" s="46" t="s">
        <v>13</v>
      </c>
      <c r="J70" s="46" t="s">
        <v>18</v>
      </c>
      <c r="K70" s="47" t="str">
        <f t="shared" si="5"/>
        <v>100</v>
      </c>
    </row>
    <row r="71" spans="1:15" s="12" customFormat="1" x14ac:dyDescent="0.25">
      <c r="A71" s="63"/>
      <c r="B71" s="43" t="s">
        <v>37</v>
      </c>
      <c r="C71" s="44" t="s">
        <v>119</v>
      </c>
      <c r="D71" s="45">
        <v>0.43055555555555558</v>
      </c>
      <c r="E71" s="45">
        <v>0.5</v>
      </c>
      <c r="F71" s="51">
        <f t="shared" si="3"/>
        <v>100</v>
      </c>
      <c r="G71" s="49">
        <f t="shared" si="4"/>
        <v>2</v>
      </c>
      <c r="H71" s="68" t="s">
        <v>41</v>
      </c>
      <c r="I71" s="46" t="s">
        <v>31</v>
      </c>
      <c r="J71" s="46" t="s">
        <v>18</v>
      </c>
      <c r="K71" s="47" t="str">
        <f t="shared" si="5"/>
        <v>100</v>
      </c>
    </row>
    <row r="72" spans="1:15" s="12" customFormat="1" x14ac:dyDescent="0.25">
      <c r="A72" s="63"/>
      <c r="B72" s="43" t="s">
        <v>37</v>
      </c>
      <c r="C72" s="44" t="s">
        <v>119</v>
      </c>
      <c r="D72" s="45">
        <v>0.46527777777777779</v>
      </c>
      <c r="E72" s="45">
        <v>0.5</v>
      </c>
      <c r="F72" s="51">
        <f t="shared" si="3"/>
        <v>50</v>
      </c>
      <c r="G72" s="49">
        <f t="shared" si="4"/>
        <v>1</v>
      </c>
      <c r="H72" s="141" t="s">
        <v>41</v>
      </c>
      <c r="I72" s="46" t="s">
        <v>13</v>
      </c>
      <c r="J72" s="46" t="s">
        <v>19</v>
      </c>
      <c r="K72" s="47" t="str">
        <f t="shared" si="5"/>
        <v>50</v>
      </c>
    </row>
    <row r="73" spans="1:15" s="12" customFormat="1" x14ac:dyDescent="0.25">
      <c r="A73" s="63"/>
      <c r="B73" s="43" t="s">
        <v>37</v>
      </c>
      <c r="C73" s="44" t="s">
        <v>94</v>
      </c>
      <c r="D73" s="45">
        <v>0.61111111111111105</v>
      </c>
      <c r="E73" s="45">
        <v>0.68055555555555547</v>
      </c>
      <c r="F73" s="51">
        <f t="shared" ref="F73:F74" si="6">VALUE(K73)</f>
        <v>100</v>
      </c>
      <c r="G73" s="49">
        <f t="shared" ref="G73:G74" si="7">IF(F73&gt;=300,6,IF(F73&gt;=250,5,IF(F73&gt;=200,4,IF(F73&gt;=150,3,IF(F73&gt;=100,2,IF(F73&gt;=50,1,0))))))</f>
        <v>2</v>
      </c>
      <c r="H73" s="68" t="s">
        <v>42</v>
      </c>
      <c r="I73" s="46" t="s">
        <v>13</v>
      </c>
      <c r="J73" s="46" t="s">
        <v>19</v>
      </c>
      <c r="K73" s="47" t="str">
        <f t="shared" ref="K73:K74" si="8">TEXT(E73-D73,"[mm]")</f>
        <v>100</v>
      </c>
    </row>
    <row r="74" spans="1:15" s="12" customFormat="1" x14ac:dyDescent="0.25">
      <c r="A74" s="90"/>
      <c r="B74" s="43" t="s">
        <v>37</v>
      </c>
      <c r="C74" s="44" t="s">
        <v>100</v>
      </c>
      <c r="D74" s="45">
        <v>0.61111111111111105</v>
      </c>
      <c r="E74" s="45">
        <v>0.68055555555555558</v>
      </c>
      <c r="F74" s="51">
        <f t="shared" si="6"/>
        <v>100</v>
      </c>
      <c r="G74" s="49">
        <f t="shared" si="7"/>
        <v>2</v>
      </c>
      <c r="H74" s="68" t="s">
        <v>42</v>
      </c>
      <c r="I74" s="46" t="s">
        <v>13</v>
      </c>
      <c r="J74" s="46" t="s">
        <v>19</v>
      </c>
      <c r="K74" s="47" t="str">
        <f t="shared" si="8"/>
        <v>100</v>
      </c>
    </row>
    <row r="75" spans="1:15" s="2" customFormat="1" x14ac:dyDescent="0.25">
      <c r="A75" s="72"/>
      <c r="B75" s="77"/>
      <c r="C75" s="74"/>
      <c r="D75" s="75"/>
      <c r="E75" s="75"/>
      <c r="F75" s="55"/>
      <c r="G75" s="56"/>
      <c r="H75" s="78"/>
      <c r="I75" s="56"/>
      <c r="J75" s="58"/>
      <c r="K75" s="75"/>
    </row>
    <row r="76" spans="1:15" s="12" customFormat="1" x14ac:dyDescent="0.25">
      <c r="A76" s="169">
        <v>3</v>
      </c>
      <c r="B76" s="43" t="s">
        <v>44</v>
      </c>
      <c r="C76" s="44" t="s">
        <v>109</v>
      </c>
      <c r="D76" s="45">
        <v>0.3263888888888889</v>
      </c>
      <c r="E76" s="45">
        <v>0.46527777777777773</v>
      </c>
      <c r="F76" s="17">
        <f t="shared" ref="F76:F103" si="9">VALUE(K76)</f>
        <v>200</v>
      </c>
      <c r="G76" s="32">
        <f t="shared" ref="G76:G103" si="10">IF(F76&gt;=300,6,IF(F76&gt;=250,5,IF(F76&gt;=200,4,IF(F76&gt;=150,3,IF(F76&gt;=100,2,IF(F76&gt;=50,1,0))))))</f>
        <v>4</v>
      </c>
      <c r="H76" s="43" t="s">
        <v>47</v>
      </c>
      <c r="I76" s="46" t="s">
        <v>31</v>
      </c>
      <c r="J76" s="46" t="s">
        <v>21</v>
      </c>
      <c r="K76" s="47" t="str">
        <f t="shared" ref="K76:K103" si="11">TEXT(E76-D76,"[mm]")</f>
        <v>200</v>
      </c>
    </row>
    <row r="77" spans="1:15" s="12" customFormat="1" x14ac:dyDescent="0.25">
      <c r="A77" s="63"/>
      <c r="B77" s="43" t="s">
        <v>43</v>
      </c>
      <c r="C77" s="44" t="s">
        <v>109</v>
      </c>
      <c r="D77" s="45">
        <v>0.54166666666666663</v>
      </c>
      <c r="E77" s="45">
        <v>0.6875</v>
      </c>
      <c r="F77" s="51">
        <f t="shared" si="9"/>
        <v>210</v>
      </c>
      <c r="G77" s="49">
        <f t="shared" si="10"/>
        <v>4</v>
      </c>
      <c r="H77" s="43" t="s">
        <v>48</v>
      </c>
      <c r="I77" s="46" t="s">
        <v>31</v>
      </c>
      <c r="J77" s="46" t="s">
        <v>23</v>
      </c>
      <c r="K77" s="47" t="str">
        <f t="shared" si="11"/>
        <v>210</v>
      </c>
    </row>
    <row r="78" spans="1:15" s="12" customFormat="1" x14ac:dyDescent="0.25">
      <c r="A78" s="63"/>
      <c r="B78" s="43" t="s">
        <v>44</v>
      </c>
      <c r="C78" s="62" t="s">
        <v>97</v>
      </c>
      <c r="D78" s="47">
        <v>0.29166666666666669</v>
      </c>
      <c r="E78" s="47">
        <v>0.39583333333333331</v>
      </c>
      <c r="F78" s="51">
        <f t="shared" si="9"/>
        <v>150</v>
      </c>
      <c r="G78" s="49">
        <f t="shared" si="10"/>
        <v>3</v>
      </c>
      <c r="H78" s="43" t="s">
        <v>45</v>
      </c>
      <c r="I78" s="46" t="s">
        <v>31</v>
      </c>
      <c r="J78" s="46" t="s">
        <v>16</v>
      </c>
      <c r="K78" s="47" t="str">
        <f t="shared" si="11"/>
        <v>150</v>
      </c>
    </row>
    <row r="79" spans="1:15" s="12" customFormat="1" x14ac:dyDescent="0.25">
      <c r="A79" s="63"/>
      <c r="B79" s="43" t="s">
        <v>44</v>
      </c>
      <c r="C79" s="62" t="s">
        <v>97</v>
      </c>
      <c r="D79" s="47">
        <v>0.39583333333333331</v>
      </c>
      <c r="E79" s="47">
        <v>0.43055555555555558</v>
      </c>
      <c r="F79" s="51">
        <f t="shared" si="9"/>
        <v>50</v>
      </c>
      <c r="G79" s="49">
        <f t="shared" si="10"/>
        <v>1</v>
      </c>
      <c r="H79" s="43" t="s">
        <v>47</v>
      </c>
      <c r="I79" s="46" t="s">
        <v>13</v>
      </c>
      <c r="J79" s="46" t="s">
        <v>21</v>
      </c>
      <c r="K79" s="47" t="str">
        <f t="shared" si="11"/>
        <v>50</v>
      </c>
    </row>
    <row r="80" spans="1:15" s="12" customFormat="1" x14ac:dyDescent="0.25">
      <c r="A80" s="63"/>
      <c r="B80" s="43" t="s">
        <v>43</v>
      </c>
      <c r="C80" s="44" t="s">
        <v>97</v>
      </c>
      <c r="D80" s="45">
        <v>0.43055555555555558</v>
      </c>
      <c r="E80" s="45">
        <v>0.5</v>
      </c>
      <c r="F80" s="51">
        <f t="shared" si="9"/>
        <v>100</v>
      </c>
      <c r="G80" s="49">
        <f t="shared" si="10"/>
        <v>2</v>
      </c>
      <c r="H80" s="50" t="s">
        <v>84</v>
      </c>
      <c r="I80" s="46" t="s">
        <v>31</v>
      </c>
      <c r="J80" s="46" t="s">
        <v>21</v>
      </c>
      <c r="K80" s="47" t="str">
        <f t="shared" si="11"/>
        <v>100</v>
      </c>
    </row>
    <row r="81" spans="1:12" s="12" customFormat="1" x14ac:dyDescent="0.25">
      <c r="A81" s="63"/>
      <c r="B81" s="43" t="s">
        <v>44</v>
      </c>
      <c r="C81" s="62" t="s">
        <v>108</v>
      </c>
      <c r="D81" s="47">
        <v>0.39583333333333331</v>
      </c>
      <c r="E81" s="47">
        <v>0.46527777777777773</v>
      </c>
      <c r="F81" s="51">
        <f t="shared" si="9"/>
        <v>100</v>
      </c>
      <c r="G81" s="49">
        <f t="shared" si="10"/>
        <v>2</v>
      </c>
      <c r="H81" s="43" t="s">
        <v>46</v>
      </c>
      <c r="I81" s="46" t="s">
        <v>13</v>
      </c>
      <c r="J81" s="46" t="s">
        <v>22</v>
      </c>
      <c r="K81" s="47" t="str">
        <f t="shared" si="11"/>
        <v>100</v>
      </c>
    </row>
    <row r="82" spans="1:12" s="2" customFormat="1" x14ac:dyDescent="0.25">
      <c r="A82" s="150"/>
      <c r="B82" s="43" t="s">
        <v>44</v>
      </c>
      <c r="C82" s="62" t="s">
        <v>108</v>
      </c>
      <c r="D82" s="45">
        <v>0.3263888888888889</v>
      </c>
      <c r="E82" s="45">
        <v>0.39583333333333331</v>
      </c>
      <c r="F82" s="51">
        <f t="shared" si="9"/>
        <v>100</v>
      </c>
      <c r="G82" s="49">
        <f t="shared" si="10"/>
        <v>2</v>
      </c>
      <c r="H82" s="43" t="s">
        <v>45</v>
      </c>
      <c r="I82" s="46" t="s">
        <v>31</v>
      </c>
      <c r="J82" s="46" t="s">
        <v>14</v>
      </c>
      <c r="K82" s="47" t="str">
        <f t="shared" si="11"/>
        <v>100</v>
      </c>
      <c r="L82" s="5"/>
    </row>
    <row r="83" spans="1:12" s="2" customFormat="1" x14ac:dyDescent="0.25">
      <c r="A83" s="150"/>
      <c r="B83" s="43" t="s">
        <v>44</v>
      </c>
      <c r="C83" s="62" t="s">
        <v>108</v>
      </c>
      <c r="D83" s="47">
        <v>0.68055555555555547</v>
      </c>
      <c r="E83" s="47">
        <v>0.71527777777777779</v>
      </c>
      <c r="F83" s="51">
        <f t="shared" si="9"/>
        <v>50</v>
      </c>
      <c r="G83" s="49">
        <f t="shared" si="10"/>
        <v>1</v>
      </c>
      <c r="H83" s="43" t="s">
        <v>47</v>
      </c>
      <c r="I83" s="46" t="s">
        <v>13</v>
      </c>
      <c r="J83" s="46" t="s">
        <v>22</v>
      </c>
      <c r="K83" s="47" t="str">
        <f t="shared" si="11"/>
        <v>50</v>
      </c>
      <c r="L83" s="5"/>
    </row>
    <row r="84" spans="1:12" s="2" customFormat="1" x14ac:dyDescent="0.25">
      <c r="A84" s="150"/>
      <c r="B84" s="43" t="s">
        <v>44</v>
      </c>
      <c r="C84" s="112" t="s">
        <v>124</v>
      </c>
      <c r="D84" s="109">
        <v>0.43055555555555558</v>
      </c>
      <c r="E84" s="109">
        <v>0.56944444444444442</v>
      </c>
      <c r="F84" s="100">
        <f t="shared" si="9"/>
        <v>200</v>
      </c>
      <c r="G84" s="110">
        <f t="shared" si="10"/>
        <v>4</v>
      </c>
      <c r="H84" s="111" t="s">
        <v>133</v>
      </c>
      <c r="I84" s="112" t="s">
        <v>13</v>
      </c>
      <c r="J84" s="112" t="s">
        <v>127</v>
      </c>
      <c r="K84" s="13" t="str">
        <f t="shared" si="11"/>
        <v>200</v>
      </c>
      <c r="L84" s="5"/>
    </row>
    <row r="85" spans="1:12" s="2" customFormat="1" x14ac:dyDescent="0.25">
      <c r="A85" s="150"/>
      <c r="B85" s="43" t="s">
        <v>44</v>
      </c>
      <c r="C85" s="112" t="s">
        <v>124</v>
      </c>
      <c r="D85" s="109">
        <v>0.29166666666666669</v>
      </c>
      <c r="E85" s="109">
        <v>0.43055555555555558</v>
      </c>
      <c r="F85" s="100">
        <f t="shared" si="9"/>
        <v>200</v>
      </c>
      <c r="G85" s="110">
        <f t="shared" si="10"/>
        <v>4</v>
      </c>
      <c r="H85" s="111" t="s">
        <v>133</v>
      </c>
      <c r="I85" s="112" t="s">
        <v>13</v>
      </c>
      <c r="J85" s="112" t="s">
        <v>128</v>
      </c>
      <c r="K85" s="13" t="str">
        <f t="shared" si="11"/>
        <v>200</v>
      </c>
      <c r="L85" s="5"/>
    </row>
    <row r="86" spans="1:12" s="2" customFormat="1" x14ac:dyDescent="0.25">
      <c r="A86" s="150"/>
      <c r="B86" s="43" t="s">
        <v>44</v>
      </c>
      <c r="C86" s="44" t="s">
        <v>105</v>
      </c>
      <c r="D86" s="45">
        <v>0.3263888888888889</v>
      </c>
      <c r="E86" s="45">
        <v>0.46527777777777773</v>
      </c>
      <c r="F86" s="51">
        <f t="shared" si="9"/>
        <v>200</v>
      </c>
      <c r="G86" s="49">
        <f t="shared" si="10"/>
        <v>4</v>
      </c>
      <c r="H86" s="43" t="s">
        <v>47</v>
      </c>
      <c r="I86" s="46" t="s">
        <v>31</v>
      </c>
      <c r="J86" s="46" t="s">
        <v>21</v>
      </c>
      <c r="K86" s="47" t="str">
        <f t="shared" si="11"/>
        <v>200</v>
      </c>
      <c r="L86" s="5"/>
    </row>
    <row r="87" spans="1:12" s="2" customFormat="1" x14ac:dyDescent="0.25">
      <c r="A87" s="150"/>
      <c r="B87" s="43" t="s">
        <v>44</v>
      </c>
      <c r="C87" s="44" t="s">
        <v>105</v>
      </c>
      <c r="D87" s="45">
        <v>0.54166666666666663</v>
      </c>
      <c r="E87" s="45">
        <v>0.6875</v>
      </c>
      <c r="F87" s="17">
        <f t="shared" si="9"/>
        <v>210</v>
      </c>
      <c r="G87" s="49">
        <f t="shared" si="10"/>
        <v>4</v>
      </c>
      <c r="H87" s="43" t="s">
        <v>48</v>
      </c>
      <c r="I87" s="46" t="s">
        <v>31</v>
      </c>
      <c r="J87" s="46" t="s">
        <v>23</v>
      </c>
      <c r="K87" s="47" t="str">
        <f t="shared" si="11"/>
        <v>210</v>
      </c>
      <c r="L87" s="5"/>
    </row>
    <row r="88" spans="1:12" s="2" customFormat="1" x14ac:dyDescent="0.25">
      <c r="A88" s="150"/>
      <c r="B88" s="43" t="s">
        <v>44</v>
      </c>
      <c r="C88" s="44" t="s">
        <v>98</v>
      </c>
      <c r="D88" s="47">
        <v>0.29166666666666669</v>
      </c>
      <c r="E88" s="47">
        <v>0.39583333333333331</v>
      </c>
      <c r="F88" s="17">
        <f t="shared" si="9"/>
        <v>150</v>
      </c>
      <c r="G88" s="49">
        <f t="shared" si="10"/>
        <v>3</v>
      </c>
      <c r="H88" s="43" t="s">
        <v>45</v>
      </c>
      <c r="I88" s="46" t="s">
        <v>31</v>
      </c>
      <c r="J88" s="46" t="s">
        <v>16</v>
      </c>
      <c r="K88" s="47" t="str">
        <f t="shared" si="11"/>
        <v>150</v>
      </c>
      <c r="L88" s="5"/>
    </row>
    <row r="89" spans="1:12" s="2" customFormat="1" x14ac:dyDescent="0.25">
      <c r="A89" s="150"/>
      <c r="B89" s="43" t="s">
        <v>44</v>
      </c>
      <c r="C89" s="62" t="s">
        <v>98</v>
      </c>
      <c r="D89" s="47">
        <v>0.39583333333333331</v>
      </c>
      <c r="E89" s="47">
        <v>0.43055555555555558</v>
      </c>
      <c r="F89" s="51">
        <f t="shared" si="9"/>
        <v>50</v>
      </c>
      <c r="G89" s="49">
        <f t="shared" si="10"/>
        <v>1</v>
      </c>
      <c r="H89" s="43" t="s">
        <v>47</v>
      </c>
      <c r="I89" s="46" t="s">
        <v>13</v>
      </c>
      <c r="J89" s="46" t="s">
        <v>21</v>
      </c>
      <c r="K89" s="47" t="str">
        <f t="shared" si="11"/>
        <v>50</v>
      </c>
      <c r="L89" s="5"/>
    </row>
    <row r="90" spans="1:12" s="2" customFormat="1" x14ac:dyDescent="0.25">
      <c r="A90" s="150"/>
      <c r="B90" s="43" t="s">
        <v>43</v>
      </c>
      <c r="C90" s="44" t="s">
        <v>98</v>
      </c>
      <c r="D90" s="45">
        <v>0.43055555555555558</v>
      </c>
      <c r="E90" s="45">
        <v>0.5</v>
      </c>
      <c r="F90" s="51">
        <f t="shared" si="9"/>
        <v>100</v>
      </c>
      <c r="G90" s="49">
        <f t="shared" si="10"/>
        <v>2</v>
      </c>
      <c r="H90" s="50" t="s">
        <v>84</v>
      </c>
      <c r="I90" s="46" t="s">
        <v>31</v>
      </c>
      <c r="J90" s="46" t="s">
        <v>21</v>
      </c>
      <c r="K90" s="47" t="str">
        <f t="shared" si="11"/>
        <v>100</v>
      </c>
      <c r="L90" s="5"/>
    </row>
    <row r="91" spans="1:12" s="2" customFormat="1" x14ac:dyDescent="0.25">
      <c r="A91" s="150"/>
      <c r="B91" s="43" t="s">
        <v>44</v>
      </c>
      <c r="C91" s="44" t="s">
        <v>107</v>
      </c>
      <c r="D91" s="45">
        <v>0.54166666666666663</v>
      </c>
      <c r="E91" s="45">
        <v>0.61111111111111105</v>
      </c>
      <c r="F91" s="17">
        <f t="shared" si="9"/>
        <v>100</v>
      </c>
      <c r="G91" s="32">
        <f t="shared" si="10"/>
        <v>2</v>
      </c>
      <c r="H91" s="43" t="s">
        <v>47</v>
      </c>
      <c r="I91" s="46" t="s">
        <v>13</v>
      </c>
      <c r="J91" s="46" t="s">
        <v>22</v>
      </c>
      <c r="K91" s="47" t="str">
        <f t="shared" si="11"/>
        <v>100</v>
      </c>
      <c r="L91" s="5"/>
    </row>
    <row r="92" spans="1:12" s="2" customFormat="1" x14ac:dyDescent="0.25">
      <c r="A92" s="150"/>
      <c r="B92" s="43" t="s">
        <v>44</v>
      </c>
      <c r="C92" s="62" t="s">
        <v>107</v>
      </c>
      <c r="D92" s="45">
        <v>0.3263888888888889</v>
      </c>
      <c r="E92" s="45">
        <v>0.39583333333333331</v>
      </c>
      <c r="F92" s="51">
        <f t="shared" si="9"/>
        <v>100</v>
      </c>
      <c r="G92" s="49">
        <f t="shared" si="10"/>
        <v>2</v>
      </c>
      <c r="H92" s="43" t="s">
        <v>45</v>
      </c>
      <c r="I92" s="46" t="s">
        <v>31</v>
      </c>
      <c r="J92" s="46" t="s">
        <v>14</v>
      </c>
      <c r="K92" s="47" t="str">
        <f t="shared" si="11"/>
        <v>100</v>
      </c>
      <c r="L92" s="5"/>
    </row>
    <row r="93" spans="1:12" s="2" customFormat="1" x14ac:dyDescent="0.25">
      <c r="A93" s="150"/>
      <c r="B93" s="43" t="s">
        <v>44</v>
      </c>
      <c r="C93" s="44" t="s">
        <v>107</v>
      </c>
      <c r="D93" s="47">
        <v>0.68055555555555547</v>
      </c>
      <c r="E93" s="47">
        <v>0.71527777777777779</v>
      </c>
      <c r="F93" s="17">
        <f t="shared" si="9"/>
        <v>50</v>
      </c>
      <c r="G93" s="32">
        <f t="shared" si="10"/>
        <v>1</v>
      </c>
      <c r="H93" s="43" t="s">
        <v>47</v>
      </c>
      <c r="I93" s="46" t="s">
        <v>13</v>
      </c>
      <c r="J93" s="46" t="s">
        <v>22</v>
      </c>
      <c r="K93" s="47" t="str">
        <f t="shared" si="11"/>
        <v>50</v>
      </c>
      <c r="L93" s="5"/>
    </row>
    <row r="94" spans="1:12" s="2" customFormat="1" x14ac:dyDescent="0.25">
      <c r="A94" s="150"/>
      <c r="B94" s="43" t="s">
        <v>43</v>
      </c>
      <c r="C94" s="44" t="s">
        <v>95</v>
      </c>
      <c r="D94" s="45">
        <v>0.29166666666666669</v>
      </c>
      <c r="E94" s="45">
        <v>0.43055555555555558</v>
      </c>
      <c r="F94" s="51">
        <f t="shared" si="9"/>
        <v>200</v>
      </c>
      <c r="G94" s="49">
        <f t="shared" si="10"/>
        <v>4</v>
      </c>
      <c r="H94" s="43" t="s">
        <v>48</v>
      </c>
      <c r="I94" s="46" t="s">
        <v>13</v>
      </c>
      <c r="J94" s="46" t="s">
        <v>22</v>
      </c>
      <c r="K94" s="47" t="str">
        <f t="shared" si="11"/>
        <v>200</v>
      </c>
      <c r="L94" s="5"/>
    </row>
    <row r="95" spans="1:12" s="2" customFormat="1" x14ac:dyDescent="0.25">
      <c r="A95" s="150"/>
      <c r="B95" s="43" t="s">
        <v>43</v>
      </c>
      <c r="C95" s="44" t="s">
        <v>107</v>
      </c>
      <c r="D95" s="45">
        <v>0.39583333333333331</v>
      </c>
      <c r="E95" s="45">
        <v>0.5</v>
      </c>
      <c r="F95" s="51">
        <f t="shared" si="9"/>
        <v>150</v>
      </c>
      <c r="G95" s="49">
        <f t="shared" si="10"/>
        <v>3</v>
      </c>
      <c r="H95" s="43" t="s">
        <v>48</v>
      </c>
      <c r="I95" s="46" t="s">
        <v>31</v>
      </c>
      <c r="J95" s="46" t="s">
        <v>22</v>
      </c>
      <c r="K95" s="47" t="str">
        <f t="shared" si="11"/>
        <v>150</v>
      </c>
      <c r="L95" s="5"/>
    </row>
    <row r="96" spans="1:12" s="2" customFormat="1" x14ac:dyDescent="0.25">
      <c r="A96" s="150"/>
      <c r="B96" s="43" t="s">
        <v>44</v>
      </c>
      <c r="C96" s="112" t="s">
        <v>121</v>
      </c>
      <c r="D96" s="109">
        <v>0.43055555555555558</v>
      </c>
      <c r="E96" s="109">
        <v>0.56944444444444442</v>
      </c>
      <c r="F96" s="100">
        <f t="shared" si="9"/>
        <v>200</v>
      </c>
      <c r="G96" s="110">
        <f t="shared" si="10"/>
        <v>4</v>
      </c>
      <c r="H96" s="111" t="s">
        <v>133</v>
      </c>
      <c r="I96" s="112" t="s">
        <v>13</v>
      </c>
      <c r="J96" s="112" t="s">
        <v>127</v>
      </c>
      <c r="K96" s="13" t="str">
        <f t="shared" si="11"/>
        <v>200</v>
      </c>
      <c r="L96" s="5"/>
    </row>
    <row r="97" spans="1:16" s="2" customFormat="1" x14ac:dyDescent="0.25">
      <c r="A97" s="150"/>
      <c r="B97" s="43" t="s">
        <v>44</v>
      </c>
      <c r="C97" s="112" t="s">
        <v>121</v>
      </c>
      <c r="D97" s="109">
        <v>0.29166666666666669</v>
      </c>
      <c r="E97" s="109">
        <v>0.43055555555555558</v>
      </c>
      <c r="F97" s="100">
        <f t="shared" si="9"/>
        <v>200</v>
      </c>
      <c r="G97" s="110">
        <f t="shared" si="10"/>
        <v>4</v>
      </c>
      <c r="H97" s="111" t="s">
        <v>133</v>
      </c>
      <c r="I97" s="112" t="s">
        <v>13</v>
      </c>
      <c r="J97" s="112" t="s">
        <v>128</v>
      </c>
      <c r="K97" s="13" t="str">
        <f t="shared" si="11"/>
        <v>200</v>
      </c>
      <c r="L97" s="5"/>
    </row>
    <row r="98" spans="1:16" s="2" customFormat="1" x14ac:dyDescent="0.25">
      <c r="A98" s="150"/>
      <c r="B98" s="43" t="s">
        <v>44</v>
      </c>
      <c r="C98" s="62" t="s">
        <v>106</v>
      </c>
      <c r="D98" s="47">
        <v>0.29166666666666669</v>
      </c>
      <c r="E98" s="47">
        <v>0.43055555555555558</v>
      </c>
      <c r="F98" s="51">
        <f t="shared" si="9"/>
        <v>200</v>
      </c>
      <c r="G98" s="49">
        <f t="shared" si="10"/>
        <v>4</v>
      </c>
      <c r="H98" s="43" t="s">
        <v>47</v>
      </c>
      <c r="I98" s="46" t="s">
        <v>31</v>
      </c>
      <c r="J98" s="46" t="s">
        <v>22</v>
      </c>
      <c r="K98" s="47" t="str">
        <f t="shared" si="11"/>
        <v>200</v>
      </c>
      <c r="L98" s="5"/>
    </row>
    <row r="99" spans="1:16" s="2" customFormat="1" x14ac:dyDescent="0.25">
      <c r="A99" s="150"/>
      <c r="B99" s="43" t="s">
        <v>44</v>
      </c>
      <c r="C99" s="44" t="s">
        <v>106</v>
      </c>
      <c r="D99" s="45">
        <v>0.54166666666666663</v>
      </c>
      <c r="E99" s="45">
        <v>0.68055555555555558</v>
      </c>
      <c r="F99" s="51">
        <f t="shared" si="9"/>
        <v>200</v>
      </c>
      <c r="G99" s="49">
        <f t="shared" si="10"/>
        <v>4</v>
      </c>
      <c r="H99" s="43" t="s">
        <v>48</v>
      </c>
      <c r="I99" s="46" t="s">
        <v>13</v>
      </c>
      <c r="J99" s="46" t="s">
        <v>22</v>
      </c>
      <c r="K99" s="47" t="str">
        <f t="shared" si="11"/>
        <v>200</v>
      </c>
      <c r="L99" s="5"/>
    </row>
    <row r="100" spans="1:16" s="2" customFormat="1" x14ac:dyDescent="0.25">
      <c r="A100" s="150"/>
      <c r="B100" s="43" t="s">
        <v>44</v>
      </c>
      <c r="C100" s="44" t="s">
        <v>99</v>
      </c>
      <c r="D100" s="45">
        <v>0.43055555555555558</v>
      </c>
      <c r="E100" s="45">
        <v>0.5</v>
      </c>
      <c r="F100" s="17">
        <f t="shared" si="9"/>
        <v>100</v>
      </c>
      <c r="G100" s="49">
        <f t="shared" si="10"/>
        <v>2</v>
      </c>
      <c r="H100" s="50" t="s">
        <v>84</v>
      </c>
      <c r="I100" s="46" t="s">
        <v>31</v>
      </c>
      <c r="J100" s="46" t="s">
        <v>21</v>
      </c>
      <c r="K100" s="47" t="str">
        <f t="shared" si="11"/>
        <v>100</v>
      </c>
      <c r="L100" s="5"/>
    </row>
    <row r="101" spans="1:16" s="2" customFormat="1" x14ac:dyDescent="0.25">
      <c r="A101" s="150"/>
      <c r="B101" s="43" t="s">
        <v>44</v>
      </c>
      <c r="C101" s="62" t="s">
        <v>99</v>
      </c>
      <c r="D101" s="45">
        <v>0.3263888888888889</v>
      </c>
      <c r="E101" s="45">
        <v>0.39583333333333331</v>
      </c>
      <c r="F101" s="51">
        <f t="shared" si="9"/>
        <v>100</v>
      </c>
      <c r="G101" s="49">
        <f t="shared" si="10"/>
        <v>2</v>
      </c>
      <c r="H101" s="43" t="s">
        <v>45</v>
      </c>
      <c r="I101" s="46" t="s">
        <v>31</v>
      </c>
      <c r="J101" s="46" t="s">
        <v>14</v>
      </c>
      <c r="K101" s="47" t="str">
        <f t="shared" si="11"/>
        <v>100</v>
      </c>
      <c r="L101" s="14"/>
      <c r="M101" s="12"/>
      <c r="N101" s="12"/>
      <c r="O101" s="12"/>
      <c r="P101" s="12"/>
    </row>
    <row r="102" spans="1:16" s="2" customFormat="1" x14ac:dyDescent="0.25">
      <c r="A102" s="150"/>
      <c r="B102" s="43" t="s">
        <v>44</v>
      </c>
      <c r="C102" s="112" t="s">
        <v>125</v>
      </c>
      <c r="D102" s="109">
        <v>0.43055555555555558</v>
      </c>
      <c r="E102" s="109">
        <v>0.56944444444444442</v>
      </c>
      <c r="F102" s="100">
        <f t="shared" si="9"/>
        <v>200</v>
      </c>
      <c r="G102" s="110">
        <f t="shared" si="10"/>
        <v>4</v>
      </c>
      <c r="H102" s="111" t="s">
        <v>133</v>
      </c>
      <c r="I102" s="112" t="s">
        <v>13</v>
      </c>
      <c r="J102" s="112" t="s">
        <v>127</v>
      </c>
      <c r="K102" s="13" t="str">
        <f t="shared" si="11"/>
        <v>200</v>
      </c>
      <c r="L102" s="12"/>
      <c r="M102" s="12"/>
      <c r="N102" s="12"/>
      <c r="O102" s="12"/>
      <c r="P102" s="12"/>
    </row>
    <row r="103" spans="1:16" s="2" customFormat="1" x14ac:dyDescent="0.25">
      <c r="A103" s="150"/>
      <c r="B103" s="43" t="s">
        <v>44</v>
      </c>
      <c r="C103" s="112" t="s">
        <v>125</v>
      </c>
      <c r="D103" s="109">
        <v>0.29166666666666669</v>
      </c>
      <c r="E103" s="109">
        <v>0.43055555555555558</v>
      </c>
      <c r="F103" s="100">
        <f t="shared" si="9"/>
        <v>200</v>
      </c>
      <c r="G103" s="110">
        <f t="shared" si="10"/>
        <v>4</v>
      </c>
      <c r="H103" s="111" t="s">
        <v>133</v>
      </c>
      <c r="I103" s="112" t="s">
        <v>13</v>
      </c>
      <c r="J103" s="112" t="s">
        <v>128</v>
      </c>
      <c r="K103" s="13" t="str">
        <f t="shared" si="11"/>
        <v>200</v>
      </c>
      <c r="L103" s="12"/>
      <c r="M103" s="12"/>
      <c r="N103" s="12"/>
      <c r="O103" s="12"/>
      <c r="P103" s="12"/>
    </row>
    <row r="104" spans="1:16" s="14" customFormat="1" x14ac:dyDescent="0.25">
      <c r="A104" s="55"/>
      <c r="B104" s="59"/>
      <c r="C104" s="60"/>
      <c r="D104" s="61"/>
      <c r="E104" s="61"/>
      <c r="F104" s="55"/>
      <c r="G104" s="56"/>
      <c r="H104" s="22"/>
      <c r="I104" s="58"/>
      <c r="J104" s="58"/>
      <c r="K104" s="75"/>
      <c r="L104" s="12"/>
    </row>
    <row r="105" spans="1:16" s="2" customFormat="1" x14ac:dyDescent="0.25">
      <c r="A105" s="170">
        <v>4</v>
      </c>
      <c r="B105" s="43" t="s">
        <v>49</v>
      </c>
      <c r="C105" s="44" t="s">
        <v>93</v>
      </c>
      <c r="D105" s="45">
        <v>0.3611111111111111</v>
      </c>
      <c r="E105" s="45">
        <v>0.43055555555555558</v>
      </c>
      <c r="F105" s="17">
        <f>VALUE(K105)</f>
        <v>100</v>
      </c>
      <c r="G105" s="32">
        <f>IF(F105&gt;=300,6,IF(F105&gt;=250,5,IF(F105&gt;=200,4,IF(F105&gt;=150,3,IF(F105&gt;=100,2,IF(F105&gt;=50,1,0))))))</f>
        <v>2</v>
      </c>
      <c r="H105" s="43" t="s">
        <v>50</v>
      </c>
      <c r="I105" s="46" t="s">
        <v>31</v>
      </c>
      <c r="J105" s="46" t="s">
        <v>14</v>
      </c>
      <c r="K105" s="47" t="str">
        <f>TEXT(E105-D105,"[mm]")</f>
        <v>100</v>
      </c>
      <c r="L105" s="5"/>
    </row>
    <row r="106" spans="1:16" s="2" customFormat="1" x14ac:dyDescent="0.25">
      <c r="A106" s="71"/>
      <c r="B106" s="43" t="s">
        <v>49</v>
      </c>
      <c r="C106" s="44" t="s">
        <v>93</v>
      </c>
      <c r="D106" s="91">
        <v>0.54166666666666663</v>
      </c>
      <c r="E106" s="91">
        <v>0.61111111111111116</v>
      </c>
      <c r="F106" s="17">
        <v>100</v>
      </c>
      <c r="G106" s="32">
        <v>2</v>
      </c>
      <c r="H106" s="43" t="s">
        <v>50</v>
      </c>
      <c r="I106" s="46" t="s">
        <v>31</v>
      </c>
      <c r="J106" s="46" t="s">
        <v>15</v>
      </c>
      <c r="K106" s="92" t="s">
        <v>118</v>
      </c>
      <c r="L106" s="5"/>
    </row>
    <row r="107" spans="1:16" s="2" customFormat="1" x14ac:dyDescent="0.25">
      <c r="A107" s="71"/>
      <c r="B107" s="43" t="s">
        <v>49</v>
      </c>
      <c r="C107" s="44" t="s">
        <v>93</v>
      </c>
      <c r="D107" s="91">
        <v>0.43055555555555558</v>
      </c>
      <c r="E107" s="91">
        <v>0.5</v>
      </c>
      <c r="F107" s="17">
        <v>100</v>
      </c>
      <c r="G107" s="32">
        <v>2</v>
      </c>
      <c r="H107" s="43" t="s">
        <v>50</v>
      </c>
      <c r="I107" s="46" t="s">
        <v>31</v>
      </c>
      <c r="J107" s="46" t="s">
        <v>16</v>
      </c>
      <c r="K107" s="92" t="s">
        <v>118</v>
      </c>
      <c r="L107" s="5"/>
    </row>
    <row r="108" spans="1:16" s="2" customFormat="1" x14ac:dyDescent="0.25">
      <c r="A108" s="71"/>
      <c r="B108" s="43" t="s">
        <v>49</v>
      </c>
      <c r="C108" s="44" t="s">
        <v>94</v>
      </c>
      <c r="D108" s="45">
        <v>0.43055555555555558</v>
      </c>
      <c r="E108" s="45">
        <v>0.46527777777777779</v>
      </c>
      <c r="F108" s="17">
        <v>50</v>
      </c>
      <c r="G108" s="32">
        <v>1</v>
      </c>
      <c r="H108" s="43" t="s">
        <v>50</v>
      </c>
      <c r="I108" s="46" t="s">
        <v>13</v>
      </c>
      <c r="J108" s="46" t="s">
        <v>14</v>
      </c>
      <c r="K108" s="47" t="str">
        <f>TEXT(E108-D108,"[mm]")</f>
        <v>50</v>
      </c>
      <c r="L108" s="5"/>
    </row>
    <row r="109" spans="1:16" s="2" customFormat="1" x14ac:dyDescent="0.25">
      <c r="A109" s="71"/>
      <c r="B109" s="43" t="s">
        <v>49</v>
      </c>
      <c r="C109" s="44" t="s">
        <v>94</v>
      </c>
      <c r="D109" s="45">
        <v>0.3611111111111111</v>
      </c>
      <c r="E109" s="45">
        <v>0.39583333333333331</v>
      </c>
      <c r="F109" s="17">
        <f>VALUE(K109)</f>
        <v>50</v>
      </c>
      <c r="G109" s="32">
        <f>IF(F109&gt;=300,6,IF(F109&gt;=250,5,IF(F109&gt;=200,4,IF(F109&gt;=150,3,IF(F109&gt;=100,2,IF(F109&gt;=50,1,0))))))</f>
        <v>1</v>
      </c>
      <c r="H109" s="43" t="s">
        <v>50</v>
      </c>
      <c r="I109" s="46" t="s">
        <v>13</v>
      </c>
      <c r="J109" s="46" t="s">
        <v>15</v>
      </c>
      <c r="K109" s="47" t="str">
        <f>TEXT(E109-D109,"[mm]")</f>
        <v>50</v>
      </c>
      <c r="L109" s="5"/>
    </row>
    <row r="110" spans="1:16" s="2" customFormat="1" x14ac:dyDescent="0.25">
      <c r="A110" s="71"/>
      <c r="B110" s="43" t="s">
        <v>49</v>
      </c>
      <c r="C110" s="44" t="s">
        <v>94</v>
      </c>
      <c r="D110" s="45">
        <v>0.39583333333333331</v>
      </c>
      <c r="E110" s="45">
        <v>0.43055555555555558</v>
      </c>
      <c r="F110" s="17">
        <v>50</v>
      </c>
      <c r="G110" s="32">
        <v>1</v>
      </c>
      <c r="H110" s="43" t="s">
        <v>50</v>
      </c>
      <c r="I110" s="46" t="s">
        <v>13</v>
      </c>
      <c r="J110" s="46" t="s">
        <v>16</v>
      </c>
      <c r="K110" s="47" t="str">
        <f>TEXT(E110-D110,"[mm]")</f>
        <v>50</v>
      </c>
      <c r="L110" s="5"/>
    </row>
    <row r="111" spans="1:16" s="2" customFormat="1" x14ac:dyDescent="0.25">
      <c r="A111" s="71"/>
      <c r="B111" s="43" t="s">
        <v>49</v>
      </c>
      <c r="C111" s="44" t="s">
        <v>95</v>
      </c>
      <c r="D111" s="45">
        <v>0.3611111111111111</v>
      </c>
      <c r="E111" s="45">
        <v>0.43055555555555558</v>
      </c>
      <c r="F111" s="17">
        <v>100</v>
      </c>
      <c r="G111" s="32">
        <v>2</v>
      </c>
      <c r="H111" s="43" t="s">
        <v>50</v>
      </c>
      <c r="I111" s="46" t="s">
        <v>31</v>
      </c>
      <c r="J111" s="46" t="s">
        <v>14</v>
      </c>
      <c r="K111" s="47" t="s">
        <v>118</v>
      </c>
      <c r="L111" s="5"/>
    </row>
    <row r="112" spans="1:16" s="2" customFormat="1" x14ac:dyDescent="0.25">
      <c r="A112" s="71"/>
      <c r="B112" s="43" t="s">
        <v>49</v>
      </c>
      <c r="C112" s="44" t="s">
        <v>95</v>
      </c>
      <c r="D112" s="45">
        <v>0.54166666666666663</v>
      </c>
      <c r="E112" s="45">
        <v>0.61111111111111116</v>
      </c>
      <c r="F112" s="17">
        <v>100</v>
      </c>
      <c r="G112" s="32">
        <v>2</v>
      </c>
      <c r="H112" s="43" t="s">
        <v>50</v>
      </c>
      <c r="I112" s="46" t="s">
        <v>31</v>
      </c>
      <c r="J112" s="46" t="s">
        <v>15</v>
      </c>
      <c r="K112" s="47" t="s">
        <v>118</v>
      </c>
    </row>
    <row r="113" spans="1:12" s="2" customFormat="1" x14ac:dyDescent="0.25">
      <c r="A113" s="71"/>
      <c r="B113" s="43" t="s">
        <v>49</v>
      </c>
      <c r="C113" s="44" t="s">
        <v>95</v>
      </c>
      <c r="D113" s="45">
        <v>0.43055555555555558</v>
      </c>
      <c r="E113" s="45">
        <v>0.5</v>
      </c>
      <c r="F113" s="17">
        <v>100</v>
      </c>
      <c r="G113" s="32">
        <v>2</v>
      </c>
      <c r="H113" s="43" t="s">
        <v>50</v>
      </c>
      <c r="I113" s="46" t="s">
        <v>31</v>
      </c>
      <c r="J113" s="46" t="s">
        <v>16</v>
      </c>
      <c r="K113" s="47" t="s">
        <v>118</v>
      </c>
    </row>
    <row r="114" spans="1:12" s="2" customFormat="1" x14ac:dyDescent="0.25">
      <c r="A114" s="89"/>
      <c r="B114" s="43" t="s">
        <v>49</v>
      </c>
      <c r="C114" s="44" t="s">
        <v>101</v>
      </c>
      <c r="D114" s="45">
        <v>0.43055555555555558</v>
      </c>
      <c r="E114" s="45">
        <v>0.46527777777777779</v>
      </c>
      <c r="F114" s="17">
        <v>50</v>
      </c>
      <c r="G114" s="32">
        <v>1</v>
      </c>
      <c r="H114" s="43" t="s">
        <v>50</v>
      </c>
      <c r="I114" s="46" t="s">
        <v>13</v>
      </c>
      <c r="J114" s="46" t="s">
        <v>14</v>
      </c>
      <c r="K114" s="47" t="str">
        <f>TEXT(E114-D114,"[mm]")</f>
        <v>50</v>
      </c>
    </row>
    <row r="115" spans="1:12" s="2" customFormat="1" x14ac:dyDescent="0.25">
      <c r="A115" s="89"/>
      <c r="B115" s="43" t="s">
        <v>49</v>
      </c>
      <c r="C115" s="44" t="s">
        <v>101</v>
      </c>
      <c r="D115" s="45">
        <v>0.3611111111111111</v>
      </c>
      <c r="E115" s="45">
        <v>0.39583333333333331</v>
      </c>
      <c r="F115" s="17">
        <f>VALUE(K115)</f>
        <v>50</v>
      </c>
      <c r="G115" s="32">
        <f>IF(F115&gt;=300,6,IF(F115&gt;=250,5,IF(F115&gt;=200,4,IF(F115&gt;=150,3,IF(F115&gt;=100,2,IF(F115&gt;=50,1,0))))))</f>
        <v>1</v>
      </c>
      <c r="H115" s="43" t="s">
        <v>50</v>
      </c>
      <c r="I115" s="46" t="s">
        <v>13</v>
      </c>
      <c r="J115" s="46" t="s">
        <v>15</v>
      </c>
      <c r="K115" s="47" t="str">
        <f>TEXT(E115-D115,"[mm]")</f>
        <v>50</v>
      </c>
    </row>
    <row r="116" spans="1:12" s="2" customFormat="1" x14ac:dyDescent="0.25">
      <c r="A116" s="89"/>
      <c r="B116" s="43" t="s">
        <v>49</v>
      </c>
      <c r="C116" s="44" t="s">
        <v>101</v>
      </c>
      <c r="D116" s="45">
        <v>0.39583333333333331</v>
      </c>
      <c r="E116" s="45">
        <v>0.43055555555555558</v>
      </c>
      <c r="F116" s="17">
        <v>50</v>
      </c>
      <c r="G116" s="32">
        <v>1</v>
      </c>
      <c r="H116" s="43" t="s">
        <v>50</v>
      </c>
      <c r="I116" s="46" t="s">
        <v>13</v>
      </c>
      <c r="J116" s="46" t="s">
        <v>16</v>
      </c>
      <c r="K116" s="47" t="str">
        <f>TEXT(E116-D116,"[mm]")</f>
        <v>50</v>
      </c>
    </row>
    <row r="117" spans="1:12" s="2" customFormat="1" x14ac:dyDescent="0.25">
      <c r="A117" s="89"/>
      <c r="B117" s="43" t="s">
        <v>49</v>
      </c>
      <c r="C117" s="44" t="s">
        <v>102</v>
      </c>
      <c r="D117" s="45">
        <v>0.3611111111111111</v>
      </c>
      <c r="E117" s="45">
        <v>0.43055555555555558</v>
      </c>
      <c r="F117" s="17">
        <v>100</v>
      </c>
      <c r="G117" s="32">
        <v>2</v>
      </c>
      <c r="H117" s="43" t="s">
        <v>50</v>
      </c>
      <c r="I117" s="46" t="s">
        <v>31</v>
      </c>
      <c r="J117" s="46" t="s">
        <v>14</v>
      </c>
      <c r="K117" s="47" t="s">
        <v>118</v>
      </c>
    </row>
    <row r="118" spans="1:12" s="2" customFormat="1" x14ac:dyDescent="0.25">
      <c r="A118" s="89"/>
      <c r="B118" s="43" t="s">
        <v>49</v>
      </c>
      <c r="C118" s="44" t="s">
        <v>102</v>
      </c>
      <c r="D118" s="45">
        <v>0.54166666666666663</v>
      </c>
      <c r="E118" s="45">
        <v>0.61111111111111116</v>
      </c>
      <c r="F118" s="17">
        <v>100</v>
      </c>
      <c r="G118" s="32">
        <v>2</v>
      </c>
      <c r="H118" s="43" t="s">
        <v>50</v>
      </c>
      <c r="I118" s="46" t="s">
        <v>31</v>
      </c>
      <c r="J118" s="46" t="s">
        <v>15</v>
      </c>
      <c r="K118" s="47" t="s">
        <v>118</v>
      </c>
    </row>
    <row r="119" spans="1:12" s="2" customFormat="1" x14ac:dyDescent="0.25">
      <c r="A119" s="89"/>
      <c r="B119" s="43" t="s">
        <v>49</v>
      </c>
      <c r="C119" s="44" t="s">
        <v>102</v>
      </c>
      <c r="D119" s="45">
        <v>0.43055555555555558</v>
      </c>
      <c r="E119" s="45">
        <v>0.5</v>
      </c>
      <c r="F119" s="17">
        <v>100</v>
      </c>
      <c r="G119" s="32">
        <v>2</v>
      </c>
      <c r="H119" s="43" t="s">
        <v>50</v>
      </c>
      <c r="I119" s="46" t="s">
        <v>31</v>
      </c>
      <c r="J119" s="46" t="s">
        <v>16</v>
      </c>
      <c r="K119" s="47" t="s">
        <v>118</v>
      </c>
    </row>
    <row r="120" spans="1:12" s="2" customFormat="1" x14ac:dyDescent="0.25">
      <c r="A120" s="89"/>
      <c r="B120" s="43" t="s">
        <v>49</v>
      </c>
      <c r="C120" s="44" t="s">
        <v>119</v>
      </c>
      <c r="D120" s="45">
        <v>0.43055555555555558</v>
      </c>
      <c r="E120" s="45">
        <v>0.46527777777777779</v>
      </c>
      <c r="F120" s="17">
        <v>50</v>
      </c>
      <c r="G120" s="32">
        <v>1</v>
      </c>
      <c r="H120" s="43" t="s">
        <v>50</v>
      </c>
      <c r="I120" s="46" t="s">
        <v>13</v>
      </c>
      <c r="J120" s="46" t="s">
        <v>14</v>
      </c>
      <c r="K120" s="47" t="str">
        <f>TEXT(E120-D120,"[mm]")</f>
        <v>50</v>
      </c>
    </row>
    <row r="121" spans="1:12" s="2" customFormat="1" x14ac:dyDescent="0.25">
      <c r="A121" s="89"/>
      <c r="B121" s="43" t="s">
        <v>49</v>
      </c>
      <c r="C121" s="44" t="s">
        <v>119</v>
      </c>
      <c r="D121" s="45">
        <v>0.3611111111111111</v>
      </c>
      <c r="E121" s="45">
        <v>0.39583333333333331</v>
      </c>
      <c r="F121" s="17">
        <f>VALUE(K121)</f>
        <v>50</v>
      </c>
      <c r="G121" s="32">
        <f>IF(F121&gt;=300,6,IF(F121&gt;=250,5,IF(F121&gt;=200,4,IF(F121&gt;=150,3,IF(F121&gt;=100,2,IF(F121&gt;=50,1,0))))))</f>
        <v>1</v>
      </c>
      <c r="H121" s="43" t="s">
        <v>50</v>
      </c>
      <c r="I121" s="46" t="s">
        <v>13</v>
      </c>
      <c r="J121" s="46" t="s">
        <v>15</v>
      </c>
      <c r="K121" s="47" t="str">
        <f>TEXT(E121-D121,"[mm]")</f>
        <v>50</v>
      </c>
    </row>
    <row r="122" spans="1:12" s="2" customFormat="1" x14ac:dyDescent="0.25">
      <c r="A122" s="89"/>
      <c r="B122" s="43" t="s">
        <v>49</v>
      </c>
      <c r="C122" s="44" t="s">
        <v>119</v>
      </c>
      <c r="D122" s="45">
        <v>0.39583333333333331</v>
      </c>
      <c r="E122" s="45">
        <v>0.43055555555555558</v>
      </c>
      <c r="F122" s="17">
        <v>50</v>
      </c>
      <c r="G122" s="32">
        <v>1</v>
      </c>
      <c r="H122" s="43" t="s">
        <v>50</v>
      </c>
      <c r="I122" s="46" t="s">
        <v>13</v>
      </c>
      <c r="J122" s="46" t="s">
        <v>16</v>
      </c>
      <c r="K122" s="47" t="str">
        <f>TEXT(E122-D122,"[mm]")</f>
        <v>50</v>
      </c>
    </row>
    <row r="123" spans="1:12" s="14" customFormat="1" x14ac:dyDescent="0.25">
      <c r="A123" s="53"/>
      <c r="B123" s="59"/>
      <c r="C123" s="60"/>
      <c r="D123" s="61"/>
      <c r="E123" s="61"/>
      <c r="F123" s="79"/>
      <c r="G123" s="80"/>
      <c r="H123" s="22"/>
      <c r="I123" s="58"/>
      <c r="J123" s="58"/>
      <c r="K123" s="75"/>
    </row>
    <row r="124" spans="1:12" x14ac:dyDescent="0.25">
      <c r="A124" s="170">
        <v>5</v>
      </c>
      <c r="B124" s="27" t="s">
        <v>24</v>
      </c>
      <c r="C124" s="24" t="s">
        <v>109</v>
      </c>
      <c r="D124" s="25">
        <v>0.3611111111111111</v>
      </c>
      <c r="E124" s="25">
        <v>0.5</v>
      </c>
      <c r="F124" s="17">
        <f>VALUE(K124)</f>
        <v>200</v>
      </c>
      <c r="G124" s="32">
        <f>IF(F124&gt;=300,6,IF(F124&gt;=250,5,IF(F124&gt;=200,4,IF(F124&gt;=150,3,IF(F124&gt;=100,2,IF(F124&gt;=50,1,0))))))</f>
        <v>4</v>
      </c>
      <c r="H124" s="27" t="s">
        <v>53</v>
      </c>
      <c r="I124" s="27" t="s">
        <v>31</v>
      </c>
      <c r="J124" s="26" t="s">
        <v>14</v>
      </c>
      <c r="K124" s="47" t="str">
        <f t="shared" ref="K124:K140" si="12">TEXT(E124-D124,"[mm]")</f>
        <v>200</v>
      </c>
    </row>
    <row r="125" spans="1:12" x14ac:dyDescent="0.25">
      <c r="A125" s="71"/>
      <c r="B125" s="27" t="s">
        <v>24</v>
      </c>
      <c r="C125" s="24" t="s">
        <v>109</v>
      </c>
      <c r="D125" s="25">
        <v>0.54166666666666663</v>
      </c>
      <c r="E125" s="25">
        <v>0.68055555555555547</v>
      </c>
      <c r="F125" s="17">
        <v>100</v>
      </c>
      <c r="G125" s="32">
        <v>4</v>
      </c>
      <c r="H125" s="27" t="s">
        <v>53</v>
      </c>
      <c r="I125" s="27" t="s">
        <v>31</v>
      </c>
      <c r="J125" s="26" t="s">
        <v>16</v>
      </c>
      <c r="K125" s="47" t="str">
        <f t="shared" si="12"/>
        <v>200</v>
      </c>
      <c r="L125" s="2"/>
    </row>
    <row r="126" spans="1:12" x14ac:dyDescent="0.25">
      <c r="A126" s="71"/>
      <c r="B126" s="27" t="s">
        <v>24</v>
      </c>
      <c r="C126" s="24" t="s">
        <v>97</v>
      </c>
      <c r="D126" s="25">
        <v>0.29166666666666669</v>
      </c>
      <c r="E126" s="25">
        <v>0.3263888888888889</v>
      </c>
      <c r="F126" s="17">
        <f t="shared" ref="F126:F140" si="13">VALUE(K126)</f>
        <v>50</v>
      </c>
      <c r="G126" s="32">
        <f t="shared" ref="G126:G140" si="14">IF(F126&gt;=300,6,IF(F126&gt;=250,5,IF(F126&gt;=200,4,IF(F126&gt;=150,3,IF(F126&gt;=100,2,IF(F126&gt;=50,1,0))))))</f>
        <v>1</v>
      </c>
      <c r="H126" s="27" t="s">
        <v>53</v>
      </c>
      <c r="I126" s="27" t="s">
        <v>13</v>
      </c>
      <c r="J126" s="26" t="s">
        <v>15</v>
      </c>
      <c r="K126" s="47" t="str">
        <f t="shared" si="12"/>
        <v>50</v>
      </c>
      <c r="L126" s="2"/>
    </row>
    <row r="127" spans="1:12" x14ac:dyDescent="0.25">
      <c r="A127" s="71"/>
      <c r="B127" s="27" t="s">
        <v>24</v>
      </c>
      <c r="C127" s="24" t="s">
        <v>97</v>
      </c>
      <c r="D127" s="25">
        <v>0.3263888888888889</v>
      </c>
      <c r="E127" s="25">
        <v>0.46527777777777773</v>
      </c>
      <c r="F127" s="17">
        <f t="shared" si="13"/>
        <v>200</v>
      </c>
      <c r="G127" s="32">
        <f t="shared" si="14"/>
        <v>4</v>
      </c>
      <c r="H127" s="27" t="s">
        <v>53</v>
      </c>
      <c r="I127" s="27" t="s">
        <v>31</v>
      </c>
      <c r="J127" s="26" t="s">
        <v>15</v>
      </c>
      <c r="K127" s="47" t="str">
        <f t="shared" si="12"/>
        <v>200</v>
      </c>
      <c r="L127" s="2"/>
    </row>
    <row r="128" spans="1:12" x14ac:dyDescent="0.25">
      <c r="A128" s="71"/>
      <c r="B128" s="27" t="s">
        <v>24</v>
      </c>
      <c r="C128" s="24" t="s">
        <v>97</v>
      </c>
      <c r="D128" s="25">
        <v>0.61111111111111105</v>
      </c>
      <c r="E128" s="25">
        <v>0.68055555555555547</v>
      </c>
      <c r="F128" s="17">
        <f t="shared" si="13"/>
        <v>100</v>
      </c>
      <c r="G128" s="32">
        <f t="shared" si="14"/>
        <v>2</v>
      </c>
      <c r="H128" s="27" t="s">
        <v>52</v>
      </c>
      <c r="I128" s="27" t="s">
        <v>31</v>
      </c>
      <c r="J128" s="26" t="s">
        <v>17</v>
      </c>
      <c r="K128" s="47" t="str">
        <f t="shared" si="12"/>
        <v>100</v>
      </c>
      <c r="L128" s="2"/>
    </row>
    <row r="129" spans="1:13" x14ac:dyDescent="0.25">
      <c r="A129" s="71"/>
      <c r="B129" s="27" t="s">
        <v>24</v>
      </c>
      <c r="C129" s="24" t="s">
        <v>108</v>
      </c>
      <c r="D129" s="25">
        <v>0.43055555555555558</v>
      </c>
      <c r="E129" s="25">
        <v>0.46527777777777773</v>
      </c>
      <c r="F129" s="17">
        <f t="shared" si="13"/>
        <v>50</v>
      </c>
      <c r="G129" s="32">
        <f t="shared" si="14"/>
        <v>1</v>
      </c>
      <c r="H129" s="27" t="s">
        <v>53</v>
      </c>
      <c r="I129" s="27" t="s">
        <v>13</v>
      </c>
      <c r="J129" s="26" t="s">
        <v>14</v>
      </c>
      <c r="K129" s="47" t="str">
        <f t="shared" si="12"/>
        <v>50</v>
      </c>
      <c r="L129" s="2"/>
    </row>
    <row r="130" spans="1:13" x14ac:dyDescent="0.25">
      <c r="A130" s="71"/>
      <c r="B130" s="27" t="s">
        <v>24</v>
      </c>
      <c r="C130" s="24" t="s">
        <v>105</v>
      </c>
      <c r="D130" s="25">
        <v>0.3611111111111111</v>
      </c>
      <c r="E130" s="25">
        <v>0.5</v>
      </c>
      <c r="F130" s="17">
        <f t="shared" si="13"/>
        <v>200</v>
      </c>
      <c r="G130" s="32">
        <f t="shared" si="14"/>
        <v>4</v>
      </c>
      <c r="H130" s="27" t="s">
        <v>53</v>
      </c>
      <c r="I130" s="27" t="s">
        <v>31</v>
      </c>
      <c r="J130" s="26" t="s">
        <v>14</v>
      </c>
      <c r="K130" s="47" t="str">
        <f t="shared" si="12"/>
        <v>200</v>
      </c>
      <c r="L130" s="2"/>
    </row>
    <row r="131" spans="1:13" x14ac:dyDescent="0.25">
      <c r="A131" s="71"/>
      <c r="B131" s="27" t="s">
        <v>24</v>
      </c>
      <c r="C131" s="24" t="s">
        <v>105</v>
      </c>
      <c r="D131" s="25">
        <v>0.54166666666666663</v>
      </c>
      <c r="E131" s="25">
        <v>0.68055555555555547</v>
      </c>
      <c r="F131" s="17">
        <f t="shared" si="13"/>
        <v>200</v>
      </c>
      <c r="G131" s="32">
        <f t="shared" si="14"/>
        <v>4</v>
      </c>
      <c r="H131" s="27" t="s">
        <v>53</v>
      </c>
      <c r="I131" s="27" t="s">
        <v>31</v>
      </c>
      <c r="J131" s="26" t="s">
        <v>16</v>
      </c>
      <c r="K131" s="47" t="str">
        <f t="shared" si="12"/>
        <v>200</v>
      </c>
      <c r="L131" s="2"/>
    </row>
    <row r="132" spans="1:13" x14ac:dyDescent="0.25">
      <c r="A132" s="71"/>
      <c r="B132" s="27" t="s">
        <v>24</v>
      </c>
      <c r="C132" s="24" t="s">
        <v>98</v>
      </c>
      <c r="D132" s="25">
        <v>0.29166666666666669</v>
      </c>
      <c r="E132" s="25">
        <v>0.3263888888888889</v>
      </c>
      <c r="F132" s="17">
        <f t="shared" si="13"/>
        <v>50</v>
      </c>
      <c r="G132" s="32">
        <f t="shared" si="14"/>
        <v>1</v>
      </c>
      <c r="H132" s="27" t="s">
        <v>53</v>
      </c>
      <c r="I132" s="27" t="s">
        <v>13</v>
      </c>
      <c r="J132" s="26" t="s">
        <v>15</v>
      </c>
      <c r="K132" s="47" t="str">
        <f t="shared" si="12"/>
        <v>50</v>
      </c>
      <c r="L132" s="2"/>
    </row>
    <row r="133" spans="1:13" x14ac:dyDescent="0.25">
      <c r="A133" s="63"/>
      <c r="B133" s="27" t="s">
        <v>24</v>
      </c>
      <c r="C133" s="24" t="s">
        <v>98</v>
      </c>
      <c r="D133" s="25">
        <v>0.3263888888888889</v>
      </c>
      <c r="E133" s="25">
        <v>0.46527777777777773</v>
      </c>
      <c r="F133" s="17">
        <f t="shared" si="13"/>
        <v>200</v>
      </c>
      <c r="G133" s="32">
        <f t="shared" si="14"/>
        <v>4</v>
      </c>
      <c r="H133" s="27" t="s">
        <v>53</v>
      </c>
      <c r="I133" s="27" t="s">
        <v>31</v>
      </c>
      <c r="J133" s="26" t="s">
        <v>15</v>
      </c>
      <c r="K133" s="47" t="str">
        <f t="shared" si="12"/>
        <v>200</v>
      </c>
    </row>
    <row r="134" spans="1:13" x14ac:dyDescent="0.25">
      <c r="A134" s="71"/>
      <c r="B134" s="27" t="s">
        <v>24</v>
      </c>
      <c r="C134" s="24" t="s">
        <v>107</v>
      </c>
      <c r="D134" s="25">
        <v>0.3263888888888889</v>
      </c>
      <c r="E134" s="25">
        <v>0.39583333333333331</v>
      </c>
      <c r="F134" s="17">
        <f t="shared" si="13"/>
        <v>100</v>
      </c>
      <c r="G134" s="32">
        <f t="shared" si="14"/>
        <v>2</v>
      </c>
      <c r="H134" s="27" t="s">
        <v>52</v>
      </c>
      <c r="I134" s="27" t="s">
        <v>31</v>
      </c>
      <c r="J134" s="26" t="s">
        <v>17</v>
      </c>
      <c r="K134" s="47" t="str">
        <f t="shared" si="12"/>
        <v>100</v>
      </c>
    </row>
    <row r="135" spans="1:13" x14ac:dyDescent="0.25">
      <c r="A135" s="71"/>
      <c r="B135" s="27" t="s">
        <v>24</v>
      </c>
      <c r="C135" s="24" t="s">
        <v>106</v>
      </c>
      <c r="D135" s="25">
        <v>0.3611111111111111</v>
      </c>
      <c r="E135" s="25">
        <v>0.5</v>
      </c>
      <c r="F135" s="17">
        <f t="shared" si="13"/>
        <v>200</v>
      </c>
      <c r="G135" s="32">
        <f t="shared" si="14"/>
        <v>4</v>
      </c>
      <c r="H135" s="27" t="s">
        <v>53</v>
      </c>
      <c r="I135" s="27" t="s">
        <v>31</v>
      </c>
      <c r="J135" s="26" t="s">
        <v>14</v>
      </c>
      <c r="K135" s="47" t="str">
        <f t="shared" si="12"/>
        <v>200</v>
      </c>
    </row>
    <row r="136" spans="1:13" x14ac:dyDescent="0.25">
      <c r="A136" s="71"/>
      <c r="B136" s="27" t="s">
        <v>24</v>
      </c>
      <c r="C136" s="24" t="s">
        <v>106</v>
      </c>
      <c r="D136" s="25">
        <v>0.54166666666666663</v>
      </c>
      <c r="E136" s="25">
        <v>0.68055555555555558</v>
      </c>
      <c r="F136" s="17">
        <f t="shared" si="13"/>
        <v>200</v>
      </c>
      <c r="G136" s="32">
        <f t="shared" si="14"/>
        <v>4</v>
      </c>
      <c r="H136" s="27" t="s">
        <v>53</v>
      </c>
      <c r="I136" s="27" t="s">
        <v>31</v>
      </c>
      <c r="J136" s="26" t="s">
        <v>14</v>
      </c>
      <c r="K136" s="47" t="str">
        <f t="shared" si="12"/>
        <v>200</v>
      </c>
    </row>
    <row r="137" spans="1:13" x14ac:dyDescent="0.25">
      <c r="A137" s="71"/>
      <c r="B137" s="27" t="s">
        <v>24</v>
      </c>
      <c r="C137" s="24" t="s">
        <v>99</v>
      </c>
      <c r="D137" s="25">
        <v>0.54166666666666663</v>
      </c>
      <c r="E137" s="25">
        <v>0.68055555555555547</v>
      </c>
      <c r="F137" s="17">
        <f t="shared" si="13"/>
        <v>200</v>
      </c>
      <c r="G137" s="32">
        <f t="shared" si="14"/>
        <v>4</v>
      </c>
      <c r="H137" s="27" t="s">
        <v>53</v>
      </c>
      <c r="I137" s="27" t="s">
        <v>31</v>
      </c>
      <c r="J137" s="26" t="s">
        <v>15</v>
      </c>
      <c r="K137" s="47" t="str">
        <f t="shared" si="12"/>
        <v>200</v>
      </c>
    </row>
    <row r="138" spans="1:13" x14ac:dyDescent="0.25">
      <c r="A138" s="71"/>
      <c r="B138" s="27" t="s">
        <v>24</v>
      </c>
      <c r="C138" s="24" t="s">
        <v>99</v>
      </c>
      <c r="D138" s="25">
        <v>0.3263888888888889</v>
      </c>
      <c r="E138" s="25">
        <v>0.46527777777777773</v>
      </c>
      <c r="F138" s="17">
        <f t="shared" si="13"/>
        <v>200</v>
      </c>
      <c r="G138" s="32">
        <f t="shared" si="14"/>
        <v>4</v>
      </c>
      <c r="H138" s="27" t="s">
        <v>53</v>
      </c>
      <c r="I138" s="27" t="s">
        <v>31</v>
      </c>
      <c r="J138" s="26" t="s">
        <v>15</v>
      </c>
      <c r="K138" s="47" t="str">
        <f t="shared" si="12"/>
        <v>200</v>
      </c>
      <c r="L138" s="2"/>
    </row>
    <row r="139" spans="1:13" x14ac:dyDescent="0.25">
      <c r="A139" s="71"/>
      <c r="B139" s="27" t="s">
        <v>24</v>
      </c>
      <c r="C139" s="24" t="s">
        <v>102</v>
      </c>
      <c r="D139" s="25">
        <v>0.54166666666666663</v>
      </c>
      <c r="E139" s="25">
        <v>0.61111111111111105</v>
      </c>
      <c r="F139" s="17">
        <f t="shared" si="13"/>
        <v>100</v>
      </c>
      <c r="G139" s="32">
        <f t="shared" si="14"/>
        <v>2</v>
      </c>
      <c r="H139" s="27" t="s">
        <v>52</v>
      </c>
      <c r="I139" s="27" t="s">
        <v>31</v>
      </c>
      <c r="J139" s="26" t="s">
        <v>17</v>
      </c>
      <c r="K139" s="47" t="str">
        <f t="shared" si="12"/>
        <v>100</v>
      </c>
      <c r="L139" s="2"/>
      <c r="M139" s="5" t="s">
        <v>32</v>
      </c>
    </row>
    <row r="140" spans="1:13" s="2" customFormat="1" x14ac:dyDescent="0.25">
      <c r="A140" s="71"/>
      <c r="B140" s="27" t="s">
        <v>24</v>
      </c>
      <c r="C140" s="24" t="s">
        <v>102</v>
      </c>
      <c r="D140" s="25">
        <v>0.39583333333333331</v>
      </c>
      <c r="E140" s="25">
        <v>0.5</v>
      </c>
      <c r="F140" s="17">
        <f t="shared" si="13"/>
        <v>150</v>
      </c>
      <c r="G140" s="32">
        <f t="shared" si="14"/>
        <v>3</v>
      </c>
      <c r="H140" s="27" t="s">
        <v>85</v>
      </c>
      <c r="I140" s="27" t="s">
        <v>13</v>
      </c>
      <c r="J140" s="26" t="s">
        <v>40</v>
      </c>
      <c r="K140" s="47" t="str">
        <f t="shared" si="12"/>
        <v>150</v>
      </c>
    </row>
    <row r="141" spans="1:13" s="14" customFormat="1" x14ac:dyDescent="0.25">
      <c r="A141" s="53"/>
      <c r="B141" s="59"/>
      <c r="C141" s="60"/>
      <c r="D141" s="61"/>
      <c r="E141" s="61"/>
      <c r="F141" s="55"/>
      <c r="G141" s="56"/>
      <c r="H141" s="78"/>
      <c r="I141" s="56"/>
      <c r="J141" s="56"/>
      <c r="K141" s="75"/>
      <c r="L141" s="12"/>
    </row>
    <row r="142" spans="1:13" s="14" customFormat="1" x14ac:dyDescent="0.25">
      <c r="A142" s="170">
        <v>6</v>
      </c>
      <c r="B142" s="43" t="s">
        <v>54</v>
      </c>
      <c r="C142" s="44" t="s">
        <v>98</v>
      </c>
      <c r="D142" s="45">
        <v>0.61111111111111105</v>
      </c>
      <c r="E142" s="45">
        <v>0.68055555555555547</v>
      </c>
      <c r="F142" s="51">
        <f>VALUE(K142)</f>
        <v>100</v>
      </c>
      <c r="G142" s="49">
        <f>IF(F142&gt;=300,6,IF(F142&gt;=250,5,IF(F142&gt;=200,4,IF(F142&gt;=150,3,IF(F142&gt;=100,2,IF(F142&gt;=50,1,0))))))</f>
        <v>2</v>
      </c>
      <c r="H142" s="43" t="s">
        <v>35</v>
      </c>
      <c r="I142" s="46" t="s">
        <v>31</v>
      </c>
      <c r="J142" s="46" t="s">
        <v>14</v>
      </c>
      <c r="K142" s="47" t="str">
        <f>TEXT(E142-D142,"[mm]")</f>
        <v>100</v>
      </c>
    </row>
    <row r="143" spans="1:13" s="14" customFormat="1" x14ac:dyDescent="0.25">
      <c r="A143" s="71"/>
      <c r="B143" s="43" t="s">
        <v>54</v>
      </c>
      <c r="C143" s="44" t="s">
        <v>107</v>
      </c>
      <c r="D143" s="45">
        <v>0.61111111111111105</v>
      </c>
      <c r="E143" s="45">
        <v>0.68055555555555547</v>
      </c>
      <c r="F143" s="51">
        <f>VALUE(K143)</f>
        <v>100</v>
      </c>
      <c r="G143" s="49">
        <f>IF(F143&gt;=300,6,IF(F143&gt;=250,5,IF(F143&gt;=200,4,IF(F143&gt;=150,3,IF(F143&gt;=100,2,IF(F143&gt;=50,1,0))))))</f>
        <v>2</v>
      </c>
      <c r="H143" s="43" t="s">
        <v>35</v>
      </c>
      <c r="I143" s="46" t="s">
        <v>31</v>
      </c>
      <c r="J143" s="46" t="s">
        <v>14</v>
      </c>
      <c r="K143" s="47" t="str">
        <f>TEXT(E143-D143,"[mm]")</f>
        <v>100</v>
      </c>
    </row>
    <row r="144" spans="1:13" s="14" customFormat="1" x14ac:dyDescent="0.25">
      <c r="A144" s="71"/>
      <c r="B144" s="43" t="s">
        <v>54</v>
      </c>
      <c r="C144" s="44" t="s">
        <v>95</v>
      </c>
      <c r="D144" s="45">
        <v>0.61111111111111105</v>
      </c>
      <c r="E144" s="45">
        <v>0.68055555555555547</v>
      </c>
      <c r="F144" s="51">
        <f t="shared" ref="F144:F153" si="15">VALUE(K144)</f>
        <v>100</v>
      </c>
      <c r="G144" s="49">
        <f t="shared" ref="G144:G153" si="16">IF(F144&gt;=300,6,IF(F144&gt;=250,5,IF(F144&gt;=200,4,IF(F144&gt;=150,3,IF(F144&gt;=100,2,IF(F144&gt;=50,1,0))))))</f>
        <v>2</v>
      </c>
      <c r="H144" s="43" t="s">
        <v>35</v>
      </c>
      <c r="I144" s="46" t="s">
        <v>31</v>
      </c>
      <c r="J144" s="46" t="s">
        <v>14</v>
      </c>
      <c r="K144" s="47" t="str">
        <f t="shared" ref="K144:K153" si="17">TEXT(E144-D144,"[mm]")</f>
        <v>100</v>
      </c>
    </row>
    <row r="145" spans="1:11" s="14" customFormat="1" x14ac:dyDescent="0.25">
      <c r="A145" s="71"/>
      <c r="B145" s="43" t="s">
        <v>54</v>
      </c>
      <c r="C145" s="44" t="s">
        <v>97</v>
      </c>
      <c r="D145" s="45">
        <v>0.61111111111111105</v>
      </c>
      <c r="E145" s="45">
        <v>0.68055555555555547</v>
      </c>
      <c r="F145" s="51">
        <f>VALUE(K145)</f>
        <v>100</v>
      </c>
      <c r="G145" s="49">
        <f>IF(F145&gt;=300,6,IF(F145&gt;=250,5,IF(F145&gt;=200,4,IF(F145&gt;=150,3,IF(F145&gt;=100,2,IF(F145&gt;=50,1,0))))))</f>
        <v>2</v>
      </c>
      <c r="H145" s="43" t="s">
        <v>35</v>
      </c>
      <c r="I145" s="46" t="s">
        <v>31</v>
      </c>
      <c r="J145" s="46" t="s">
        <v>14</v>
      </c>
      <c r="K145" s="47" t="str">
        <f>TEXT(E145-D145,"[mm]")</f>
        <v>100</v>
      </c>
    </row>
    <row r="146" spans="1:11" s="14" customFormat="1" x14ac:dyDescent="0.25">
      <c r="A146" s="71"/>
      <c r="B146" s="43" t="s">
        <v>54</v>
      </c>
      <c r="C146" s="44" t="s">
        <v>108</v>
      </c>
      <c r="D146" s="45">
        <v>0.61111111111111105</v>
      </c>
      <c r="E146" s="45">
        <v>0.68055555555555547</v>
      </c>
      <c r="F146" s="51">
        <f>VALUE(K146)</f>
        <v>100</v>
      </c>
      <c r="G146" s="49">
        <f>IF(F146&gt;=300,6,IF(F146&gt;=250,5,IF(F146&gt;=200,4,IF(F146&gt;=150,3,IF(F146&gt;=100,2,IF(F146&gt;=50,1,0))))))</f>
        <v>2</v>
      </c>
      <c r="H146" s="43" t="s">
        <v>35</v>
      </c>
      <c r="I146" s="46" t="s">
        <v>31</v>
      </c>
      <c r="J146" s="46" t="s">
        <v>14</v>
      </c>
      <c r="K146" s="47" t="str">
        <f>TEXT(E146-D146,"[mm]")</f>
        <v>100</v>
      </c>
    </row>
    <row r="147" spans="1:11" s="14" customFormat="1" x14ac:dyDescent="0.25">
      <c r="A147" s="71"/>
      <c r="B147" s="43" t="s">
        <v>54</v>
      </c>
      <c r="C147" s="44" t="s">
        <v>110</v>
      </c>
      <c r="D147" s="45">
        <v>0.61111111111111105</v>
      </c>
      <c r="E147" s="45">
        <v>0.68055555555555547</v>
      </c>
      <c r="F147" s="51">
        <f t="shared" ref="F147" si="18">VALUE(K147)</f>
        <v>100</v>
      </c>
      <c r="G147" s="49">
        <f t="shared" ref="G147" si="19">IF(F147&gt;=300,6,IF(F147&gt;=250,5,IF(F147&gt;=200,4,IF(F147&gt;=150,3,IF(F147&gt;=100,2,IF(F147&gt;=50,1,0))))))</f>
        <v>2</v>
      </c>
      <c r="H147" s="43" t="s">
        <v>35</v>
      </c>
      <c r="I147" s="46" t="s">
        <v>31</v>
      </c>
      <c r="J147" s="46" t="s">
        <v>14</v>
      </c>
      <c r="K147" s="47" t="str">
        <f t="shared" ref="K147" si="20">TEXT(E147-D147,"[mm]")</f>
        <v>100</v>
      </c>
    </row>
    <row r="148" spans="1:11" s="14" customFormat="1" x14ac:dyDescent="0.25">
      <c r="A148" s="71"/>
      <c r="B148" s="43" t="s">
        <v>54</v>
      </c>
      <c r="C148" s="44" t="s">
        <v>97</v>
      </c>
      <c r="D148" s="45">
        <v>0.3611111111111111</v>
      </c>
      <c r="E148" s="45">
        <v>0.43055555555555558</v>
      </c>
      <c r="F148" s="51">
        <f t="shared" si="15"/>
        <v>100</v>
      </c>
      <c r="G148" s="49">
        <f t="shared" si="16"/>
        <v>2</v>
      </c>
      <c r="H148" s="43" t="s">
        <v>35</v>
      </c>
      <c r="I148" s="46" t="s">
        <v>31</v>
      </c>
      <c r="J148" s="46" t="s">
        <v>15</v>
      </c>
      <c r="K148" s="47" t="str">
        <f t="shared" si="17"/>
        <v>100</v>
      </c>
    </row>
    <row r="149" spans="1:11" s="14" customFormat="1" x14ac:dyDescent="0.25">
      <c r="A149" s="71"/>
      <c r="B149" s="43" t="s">
        <v>54</v>
      </c>
      <c r="C149" s="44" t="s">
        <v>108</v>
      </c>
      <c r="D149" s="45">
        <v>0.3611111111111111</v>
      </c>
      <c r="E149" s="45">
        <v>0.43055555555555558</v>
      </c>
      <c r="F149" s="51">
        <f t="shared" si="15"/>
        <v>100</v>
      </c>
      <c r="G149" s="49">
        <f t="shared" si="16"/>
        <v>2</v>
      </c>
      <c r="H149" s="43" t="s">
        <v>35</v>
      </c>
      <c r="I149" s="46" t="s">
        <v>31</v>
      </c>
      <c r="J149" s="46" t="s">
        <v>15</v>
      </c>
      <c r="K149" s="47" t="str">
        <f t="shared" si="17"/>
        <v>100</v>
      </c>
    </row>
    <row r="150" spans="1:11" s="14" customFormat="1" x14ac:dyDescent="0.25">
      <c r="A150" s="71"/>
      <c r="B150" s="43" t="s">
        <v>54</v>
      </c>
      <c r="C150" s="44" t="s">
        <v>110</v>
      </c>
      <c r="D150" s="45">
        <v>0.3611111111111111</v>
      </c>
      <c r="E150" s="45">
        <v>0.43055555555555558</v>
      </c>
      <c r="F150" s="17">
        <f t="shared" si="15"/>
        <v>100</v>
      </c>
      <c r="G150" s="32">
        <f t="shared" si="16"/>
        <v>2</v>
      </c>
      <c r="H150" s="43" t="s">
        <v>35</v>
      </c>
      <c r="I150" s="46" t="s">
        <v>31</v>
      </c>
      <c r="J150" s="46" t="s">
        <v>15</v>
      </c>
      <c r="K150" s="47" t="str">
        <f t="shared" si="17"/>
        <v>100</v>
      </c>
    </row>
    <row r="151" spans="1:11" s="14" customFormat="1" x14ac:dyDescent="0.25">
      <c r="A151" s="71"/>
      <c r="B151" s="43" t="s">
        <v>54</v>
      </c>
      <c r="C151" s="44" t="s">
        <v>98</v>
      </c>
      <c r="D151" s="45">
        <v>0.59027777777777779</v>
      </c>
      <c r="E151" s="45">
        <v>0.65972222222222221</v>
      </c>
      <c r="F151" s="17">
        <f t="shared" si="15"/>
        <v>100</v>
      </c>
      <c r="G151" s="32">
        <f t="shared" si="16"/>
        <v>2</v>
      </c>
      <c r="H151" s="43" t="s">
        <v>35</v>
      </c>
      <c r="I151" s="46" t="s">
        <v>31</v>
      </c>
      <c r="J151" s="46" t="s">
        <v>15</v>
      </c>
      <c r="K151" s="47" t="str">
        <f t="shared" si="17"/>
        <v>100</v>
      </c>
    </row>
    <row r="152" spans="1:11" s="14" customFormat="1" x14ac:dyDescent="0.25">
      <c r="A152" s="71"/>
      <c r="B152" s="43" t="s">
        <v>54</v>
      </c>
      <c r="C152" s="44" t="s">
        <v>107</v>
      </c>
      <c r="D152" s="45">
        <v>0.3611111111111111</v>
      </c>
      <c r="E152" s="45">
        <v>0.43055555555555558</v>
      </c>
      <c r="F152" s="51">
        <f t="shared" si="15"/>
        <v>100</v>
      </c>
      <c r="G152" s="49">
        <f t="shared" si="16"/>
        <v>2</v>
      </c>
      <c r="H152" s="43" t="s">
        <v>35</v>
      </c>
      <c r="I152" s="46" t="s">
        <v>31</v>
      </c>
      <c r="J152" s="46" t="s">
        <v>15</v>
      </c>
      <c r="K152" s="47" t="str">
        <f t="shared" si="17"/>
        <v>100</v>
      </c>
    </row>
    <row r="153" spans="1:11" s="14" customFormat="1" x14ac:dyDescent="0.25">
      <c r="A153" s="71"/>
      <c r="B153" s="43" t="s">
        <v>54</v>
      </c>
      <c r="C153" s="44" t="s">
        <v>95</v>
      </c>
      <c r="D153" s="45">
        <v>0.3611111111111111</v>
      </c>
      <c r="E153" s="45">
        <v>0.43055555555555558</v>
      </c>
      <c r="F153" s="51">
        <f t="shared" si="15"/>
        <v>100</v>
      </c>
      <c r="G153" s="49">
        <f t="shared" si="16"/>
        <v>2</v>
      </c>
      <c r="H153" s="43" t="s">
        <v>35</v>
      </c>
      <c r="I153" s="46" t="s">
        <v>31</v>
      </c>
      <c r="J153" s="46" t="s">
        <v>15</v>
      </c>
      <c r="K153" s="47" t="str">
        <f t="shared" si="17"/>
        <v>100</v>
      </c>
    </row>
    <row r="154" spans="1:11" s="14" customFormat="1" x14ac:dyDescent="0.25">
      <c r="A154" s="71"/>
      <c r="B154" s="43" t="s">
        <v>54</v>
      </c>
      <c r="C154" s="44" t="s">
        <v>97</v>
      </c>
      <c r="D154" s="45">
        <v>0.65972222222222221</v>
      </c>
      <c r="E154" s="45">
        <v>0.72916666666666663</v>
      </c>
      <c r="F154" s="51">
        <f t="shared" ref="F154:F159" si="21">VALUE(K154)</f>
        <v>100</v>
      </c>
      <c r="G154" s="49">
        <f t="shared" ref="G154:G159" si="22">IF(F154&gt;=300,6,IF(F154&gt;=250,5,IF(F154&gt;=200,4,IF(F154&gt;=150,3,IF(F154&gt;=100,2,IF(F154&gt;=50,1,0))))))</f>
        <v>2</v>
      </c>
      <c r="H154" s="43" t="s">
        <v>35</v>
      </c>
      <c r="I154" s="46" t="s">
        <v>31</v>
      </c>
      <c r="J154" s="46" t="s">
        <v>16</v>
      </c>
      <c r="K154" s="47" t="str">
        <f t="shared" ref="K154:K159" si="23">TEXT(E154-D154,"[mm]")</f>
        <v>100</v>
      </c>
    </row>
    <row r="155" spans="1:11" s="14" customFormat="1" x14ac:dyDescent="0.25">
      <c r="A155" s="71"/>
      <c r="B155" s="43" t="s">
        <v>54</v>
      </c>
      <c r="C155" s="44" t="s">
        <v>108</v>
      </c>
      <c r="D155" s="45">
        <v>0.29166666666666669</v>
      </c>
      <c r="E155" s="45">
        <v>0.3611111111111111</v>
      </c>
      <c r="F155" s="51">
        <f t="shared" si="21"/>
        <v>100</v>
      </c>
      <c r="G155" s="49">
        <f t="shared" si="22"/>
        <v>2</v>
      </c>
      <c r="H155" s="43" t="s">
        <v>35</v>
      </c>
      <c r="I155" s="46" t="s">
        <v>31</v>
      </c>
      <c r="J155" s="46" t="s">
        <v>16</v>
      </c>
      <c r="K155" s="47" t="str">
        <f t="shared" si="23"/>
        <v>100</v>
      </c>
    </row>
    <row r="156" spans="1:11" s="14" customFormat="1" x14ac:dyDescent="0.25">
      <c r="A156" s="71"/>
      <c r="B156" s="43" t="s">
        <v>54</v>
      </c>
      <c r="C156" s="44" t="s">
        <v>110</v>
      </c>
      <c r="D156" s="45">
        <v>0.65972222222222221</v>
      </c>
      <c r="E156" s="45">
        <v>0.72916666666666663</v>
      </c>
      <c r="F156" s="51">
        <f t="shared" si="21"/>
        <v>100</v>
      </c>
      <c r="G156" s="49">
        <f t="shared" si="22"/>
        <v>2</v>
      </c>
      <c r="H156" s="43" t="s">
        <v>35</v>
      </c>
      <c r="I156" s="46" t="s">
        <v>31</v>
      </c>
      <c r="J156" s="46" t="s">
        <v>16</v>
      </c>
      <c r="K156" s="47" t="str">
        <f t="shared" si="23"/>
        <v>100</v>
      </c>
    </row>
    <row r="157" spans="1:11" s="14" customFormat="1" x14ac:dyDescent="0.25">
      <c r="A157" s="71"/>
      <c r="B157" s="43" t="s">
        <v>54</v>
      </c>
      <c r="C157" s="44" t="s">
        <v>98</v>
      </c>
      <c r="D157" s="45">
        <v>0.29166666666666669</v>
      </c>
      <c r="E157" s="45">
        <v>0.3611111111111111</v>
      </c>
      <c r="F157" s="51">
        <f t="shared" si="21"/>
        <v>100</v>
      </c>
      <c r="G157" s="49">
        <f t="shared" si="22"/>
        <v>2</v>
      </c>
      <c r="H157" s="43" t="s">
        <v>35</v>
      </c>
      <c r="I157" s="46" t="s">
        <v>31</v>
      </c>
      <c r="J157" s="46" t="s">
        <v>16</v>
      </c>
      <c r="K157" s="47" t="str">
        <f t="shared" si="23"/>
        <v>100</v>
      </c>
    </row>
    <row r="158" spans="1:11" s="14" customFormat="1" x14ac:dyDescent="0.25">
      <c r="A158" s="71"/>
      <c r="B158" s="43" t="s">
        <v>54</v>
      </c>
      <c r="C158" s="44" t="s">
        <v>107</v>
      </c>
      <c r="D158" s="45">
        <v>0.29166666666666669</v>
      </c>
      <c r="E158" s="45">
        <v>0.3611111111111111</v>
      </c>
      <c r="F158" s="51">
        <f t="shared" si="21"/>
        <v>100</v>
      </c>
      <c r="G158" s="49">
        <f t="shared" si="22"/>
        <v>2</v>
      </c>
      <c r="H158" s="43" t="s">
        <v>35</v>
      </c>
      <c r="I158" s="46" t="s">
        <v>31</v>
      </c>
      <c r="J158" s="46" t="s">
        <v>16</v>
      </c>
      <c r="K158" s="47" t="str">
        <f t="shared" si="23"/>
        <v>100</v>
      </c>
    </row>
    <row r="159" spans="1:11" s="14" customFormat="1" x14ac:dyDescent="0.25">
      <c r="A159" s="71"/>
      <c r="B159" s="43" t="s">
        <v>54</v>
      </c>
      <c r="C159" s="44" t="s">
        <v>95</v>
      </c>
      <c r="D159" s="45">
        <v>0.29166666666666669</v>
      </c>
      <c r="E159" s="45">
        <v>0.3611111111111111</v>
      </c>
      <c r="F159" s="51">
        <f t="shared" si="21"/>
        <v>100</v>
      </c>
      <c r="G159" s="49">
        <f t="shared" si="22"/>
        <v>2</v>
      </c>
      <c r="H159" s="43" t="s">
        <v>35</v>
      </c>
      <c r="I159" s="46" t="s">
        <v>31</v>
      </c>
      <c r="J159" s="46" t="s">
        <v>16</v>
      </c>
      <c r="K159" s="47" t="str">
        <f t="shared" si="23"/>
        <v>100</v>
      </c>
    </row>
    <row r="160" spans="1:11" s="14" customFormat="1" x14ac:dyDescent="0.25">
      <c r="A160" s="53"/>
      <c r="B160" s="59"/>
      <c r="C160" s="60"/>
      <c r="D160" s="61"/>
      <c r="E160" s="61"/>
      <c r="F160" s="55"/>
      <c r="G160" s="56"/>
      <c r="H160" s="23"/>
      <c r="I160" s="58"/>
      <c r="J160" s="58"/>
      <c r="K160" s="75"/>
    </row>
    <row r="161" spans="1:16" s="14" customFormat="1" x14ac:dyDescent="0.25">
      <c r="A161" s="170">
        <v>7</v>
      </c>
      <c r="B161" s="43" t="s">
        <v>55</v>
      </c>
      <c r="C161" s="44" t="s">
        <v>97</v>
      </c>
      <c r="D161" s="45">
        <v>0.43055555555555558</v>
      </c>
      <c r="E161" s="45">
        <v>0.46527777777777773</v>
      </c>
      <c r="F161" s="51">
        <f t="shared" ref="F161:F166" si="24">VALUE(K161)</f>
        <v>50</v>
      </c>
      <c r="G161" s="49">
        <f t="shared" ref="G161:G166" si="25">IF(F161&gt;=300,6,IF(F161&gt;=250,5,IF(F161&gt;=200,4,IF(F161&gt;=150,3,IF(F161&gt;=100,2,IF(F161&gt;=50,1,0))))))</f>
        <v>1</v>
      </c>
      <c r="H161" s="43" t="s">
        <v>66</v>
      </c>
      <c r="I161" s="46" t="s">
        <v>13</v>
      </c>
      <c r="J161" s="46" t="s">
        <v>17</v>
      </c>
      <c r="K161" s="47" t="str">
        <f t="shared" ref="K161:K166" si="26">TEXT(E161-D161,"[mm]")</f>
        <v>50</v>
      </c>
    </row>
    <row r="162" spans="1:16" s="14" customFormat="1" x14ac:dyDescent="0.25">
      <c r="A162" s="52"/>
      <c r="B162" s="43" t="s">
        <v>55</v>
      </c>
      <c r="C162" s="44" t="s">
        <v>98</v>
      </c>
      <c r="D162" s="45">
        <v>0.43055555555555558</v>
      </c>
      <c r="E162" s="45">
        <v>0.46527777777777773</v>
      </c>
      <c r="F162" s="51">
        <f t="shared" si="24"/>
        <v>50</v>
      </c>
      <c r="G162" s="49">
        <f t="shared" si="25"/>
        <v>1</v>
      </c>
      <c r="H162" s="43" t="s">
        <v>66</v>
      </c>
      <c r="I162" s="46" t="s">
        <v>13</v>
      </c>
      <c r="J162" s="46" t="s">
        <v>17</v>
      </c>
      <c r="K162" s="47" t="str">
        <f t="shared" si="26"/>
        <v>50</v>
      </c>
    </row>
    <row r="163" spans="1:16" s="14" customFormat="1" x14ac:dyDescent="0.25">
      <c r="A163" s="52"/>
      <c r="B163" s="43" t="s">
        <v>55</v>
      </c>
      <c r="C163" s="44" t="s">
        <v>108</v>
      </c>
      <c r="D163" s="45">
        <v>0.43055555555555558</v>
      </c>
      <c r="E163" s="45">
        <v>0.5</v>
      </c>
      <c r="F163" s="51">
        <f t="shared" si="24"/>
        <v>100</v>
      </c>
      <c r="G163" s="49">
        <f t="shared" si="25"/>
        <v>2</v>
      </c>
      <c r="H163" s="43" t="s">
        <v>66</v>
      </c>
      <c r="I163" s="46" t="s">
        <v>31</v>
      </c>
      <c r="J163" s="46" t="s">
        <v>18</v>
      </c>
      <c r="K163" s="47" t="str">
        <f t="shared" si="26"/>
        <v>100</v>
      </c>
    </row>
    <row r="164" spans="1:16" s="14" customFormat="1" x14ac:dyDescent="0.25">
      <c r="A164" s="52"/>
      <c r="B164" s="43" t="s">
        <v>55</v>
      </c>
      <c r="C164" s="44" t="s">
        <v>107</v>
      </c>
      <c r="D164" s="45">
        <v>0.43055555555555558</v>
      </c>
      <c r="E164" s="45">
        <v>0.5</v>
      </c>
      <c r="F164" s="51">
        <f t="shared" ref="F164" si="27">VALUE(K164)</f>
        <v>100</v>
      </c>
      <c r="G164" s="49">
        <f t="shared" ref="G164" si="28">IF(F164&gt;=300,6,IF(F164&gt;=250,5,IF(F164&gt;=200,4,IF(F164&gt;=150,3,IF(F164&gt;=100,2,IF(F164&gt;=50,1,0))))))</f>
        <v>2</v>
      </c>
      <c r="H164" s="43" t="s">
        <v>66</v>
      </c>
      <c r="I164" s="46" t="s">
        <v>31</v>
      </c>
      <c r="J164" s="46" t="s">
        <v>18</v>
      </c>
      <c r="K164" s="47" t="str">
        <f t="shared" ref="K164" si="29">TEXT(E164-D164,"[mm]")</f>
        <v>100</v>
      </c>
    </row>
    <row r="165" spans="1:16" s="14" customFormat="1" x14ac:dyDescent="0.25">
      <c r="A165" s="63"/>
      <c r="B165" s="43" t="s">
        <v>55</v>
      </c>
      <c r="C165" s="44" t="s">
        <v>97</v>
      </c>
      <c r="D165" s="45">
        <v>0.29166666666666669</v>
      </c>
      <c r="E165" s="45">
        <v>0.3263888888888889</v>
      </c>
      <c r="F165" s="51">
        <f t="shared" si="24"/>
        <v>50</v>
      </c>
      <c r="G165" s="49">
        <f t="shared" si="25"/>
        <v>1</v>
      </c>
      <c r="H165" s="43" t="s">
        <v>66</v>
      </c>
      <c r="I165" s="46" t="s">
        <v>31</v>
      </c>
      <c r="J165" s="46" t="s">
        <v>19</v>
      </c>
      <c r="K165" s="47" t="str">
        <f t="shared" si="26"/>
        <v>50</v>
      </c>
      <c r="P165" s="14" t="s">
        <v>27</v>
      </c>
    </row>
    <row r="166" spans="1:16" s="14" customFormat="1" x14ac:dyDescent="0.25">
      <c r="A166" s="71"/>
      <c r="B166" s="43" t="s">
        <v>55</v>
      </c>
      <c r="C166" s="44" t="s">
        <v>98</v>
      </c>
      <c r="D166" s="45">
        <v>0.29166666666666669</v>
      </c>
      <c r="E166" s="45">
        <v>0.3263888888888889</v>
      </c>
      <c r="F166" s="51">
        <f t="shared" si="24"/>
        <v>50</v>
      </c>
      <c r="G166" s="49">
        <f t="shared" si="25"/>
        <v>1</v>
      </c>
      <c r="H166" s="43" t="s">
        <v>66</v>
      </c>
      <c r="I166" s="46" t="s">
        <v>31</v>
      </c>
      <c r="J166" s="46" t="s">
        <v>19</v>
      </c>
      <c r="K166" s="47" t="str">
        <f t="shared" si="26"/>
        <v>50</v>
      </c>
    </row>
    <row r="167" spans="1:16" s="14" customFormat="1" x14ac:dyDescent="0.25">
      <c r="A167" s="53"/>
      <c r="B167" s="59"/>
      <c r="C167" s="60"/>
      <c r="D167" s="61"/>
      <c r="E167" s="61"/>
      <c r="F167" s="55"/>
      <c r="G167" s="56"/>
      <c r="H167" s="78"/>
      <c r="I167" s="56"/>
      <c r="J167" s="58"/>
      <c r="K167" s="75"/>
    </row>
    <row r="168" spans="1:16" s="12" customFormat="1" x14ac:dyDescent="0.25">
      <c r="A168" s="169">
        <v>8</v>
      </c>
      <c r="B168" s="43" t="s">
        <v>25</v>
      </c>
      <c r="C168" s="44" t="s">
        <v>97</v>
      </c>
      <c r="D168" s="45">
        <v>0.54166666666666663</v>
      </c>
      <c r="E168" s="45">
        <v>0.61111111111111116</v>
      </c>
      <c r="F168" s="51">
        <f t="shared" ref="F168:F185" si="30">VALUE(K168)</f>
        <v>100</v>
      </c>
      <c r="G168" s="49">
        <f t="shared" ref="G168:G185" si="31">IF(F168&gt;=300,6,IF(F168&gt;=250,5,IF(F168&gt;=200,4,IF(F168&gt;=150,3,IF(F168&gt;=100,2,IF(F168&gt;=50,1,0))))))</f>
        <v>2</v>
      </c>
      <c r="H168" s="43" t="s">
        <v>87</v>
      </c>
      <c r="I168" s="46" t="s">
        <v>31</v>
      </c>
      <c r="J168" s="46" t="s">
        <v>19</v>
      </c>
      <c r="K168" s="47" t="str">
        <f t="shared" ref="K168:K185" si="32">TEXT(E168-D168,"[mm]")</f>
        <v>100</v>
      </c>
    </row>
    <row r="169" spans="1:16" s="12" customFormat="1" x14ac:dyDescent="0.25">
      <c r="A169" s="63"/>
      <c r="B169" s="43" t="s">
        <v>25</v>
      </c>
      <c r="C169" s="44" t="s">
        <v>97</v>
      </c>
      <c r="D169" s="45">
        <v>0.61111111111111116</v>
      </c>
      <c r="E169" s="45">
        <v>0.68055555555555558</v>
      </c>
      <c r="F169" s="51">
        <f t="shared" si="30"/>
        <v>100</v>
      </c>
      <c r="G169" s="49">
        <f t="shared" si="31"/>
        <v>2</v>
      </c>
      <c r="H169" s="43" t="s">
        <v>87</v>
      </c>
      <c r="I169" s="46" t="s">
        <v>31</v>
      </c>
      <c r="J169" s="46" t="s">
        <v>17</v>
      </c>
      <c r="K169" s="47" t="str">
        <f t="shared" si="32"/>
        <v>100</v>
      </c>
    </row>
    <row r="170" spans="1:16" s="12" customFormat="1" x14ac:dyDescent="0.25">
      <c r="A170" s="63"/>
      <c r="B170" s="43" t="s">
        <v>25</v>
      </c>
      <c r="C170" s="24" t="s">
        <v>108</v>
      </c>
      <c r="D170" s="25">
        <v>0.43055555555555558</v>
      </c>
      <c r="E170" s="25">
        <v>0.5</v>
      </c>
      <c r="F170" s="17">
        <f t="shared" si="30"/>
        <v>100</v>
      </c>
      <c r="G170" s="32">
        <f t="shared" si="31"/>
        <v>2</v>
      </c>
      <c r="H170" s="16" t="s">
        <v>87</v>
      </c>
      <c r="I170" s="26" t="s">
        <v>31</v>
      </c>
      <c r="J170" s="26" t="s">
        <v>18</v>
      </c>
      <c r="K170" s="103" t="str">
        <f t="shared" si="32"/>
        <v>100</v>
      </c>
    </row>
    <row r="171" spans="1:16" s="12" customFormat="1" x14ac:dyDescent="0.25">
      <c r="A171" s="63"/>
      <c r="B171" s="43" t="s">
        <v>25</v>
      </c>
      <c r="C171" s="24" t="s">
        <v>105</v>
      </c>
      <c r="D171" s="25">
        <v>0.54166666666666663</v>
      </c>
      <c r="E171" s="25">
        <v>0.57638888888888895</v>
      </c>
      <c r="F171" s="17">
        <f t="shared" si="30"/>
        <v>50</v>
      </c>
      <c r="G171" s="32">
        <f t="shared" si="31"/>
        <v>1</v>
      </c>
      <c r="H171" s="16" t="s">
        <v>87</v>
      </c>
      <c r="I171" s="26" t="s">
        <v>13</v>
      </c>
      <c r="J171" s="26" t="s">
        <v>18</v>
      </c>
      <c r="K171" s="103" t="str">
        <f t="shared" si="32"/>
        <v>50</v>
      </c>
    </row>
    <row r="172" spans="1:16" s="12" customFormat="1" x14ac:dyDescent="0.25">
      <c r="A172" s="63"/>
      <c r="B172" s="43" t="s">
        <v>25</v>
      </c>
      <c r="C172" s="24" t="s">
        <v>105</v>
      </c>
      <c r="D172" s="25">
        <v>0.57638888888888895</v>
      </c>
      <c r="E172" s="25">
        <v>0.61111111111111105</v>
      </c>
      <c r="F172" s="17">
        <f t="shared" si="30"/>
        <v>50</v>
      </c>
      <c r="G172" s="32">
        <f t="shared" si="31"/>
        <v>1</v>
      </c>
      <c r="H172" s="16" t="s">
        <v>87</v>
      </c>
      <c r="I172" s="26" t="s">
        <v>13</v>
      </c>
      <c r="J172" s="26" t="s">
        <v>19</v>
      </c>
      <c r="K172" s="103" t="str">
        <f t="shared" si="32"/>
        <v>50</v>
      </c>
    </row>
    <row r="173" spans="1:16" s="12" customFormat="1" x14ac:dyDescent="0.25">
      <c r="A173" s="63"/>
      <c r="B173" s="43" t="s">
        <v>25</v>
      </c>
      <c r="C173" s="104" t="s">
        <v>107</v>
      </c>
      <c r="D173" s="25">
        <v>0.3611111111111111</v>
      </c>
      <c r="E173" s="25">
        <v>0.43055555555555558</v>
      </c>
      <c r="F173" s="17">
        <f t="shared" si="30"/>
        <v>100</v>
      </c>
      <c r="G173" s="32">
        <f t="shared" si="31"/>
        <v>2</v>
      </c>
      <c r="H173" s="16" t="s">
        <v>56</v>
      </c>
      <c r="I173" s="26" t="s">
        <v>31</v>
      </c>
      <c r="J173" s="26" t="s">
        <v>15</v>
      </c>
      <c r="K173" s="103" t="str">
        <f t="shared" si="32"/>
        <v>100</v>
      </c>
    </row>
    <row r="174" spans="1:16" s="12" customFormat="1" x14ac:dyDescent="0.25">
      <c r="A174" s="63"/>
      <c r="B174" s="43" t="s">
        <v>25</v>
      </c>
      <c r="C174" s="24" t="s">
        <v>107</v>
      </c>
      <c r="D174" s="25">
        <v>0.43055555555555558</v>
      </c>
      <c r="E174" s="25">
        <v>0.5</v>
      </c>
      <c r="F174" s="17">
        <f t="shared" si="30"/>
        <v>100</v>
      </c>
      <c r="G174" s="32">
        <f t="shared" si="31"/>
        <v>2</v>
      </c>
      <c r="H174" s="16" t="s">
        <v>87</v>
      </c>
      <c r="I174" s="26" t="s">
        <v>31</v>
      </c>
      <c r="J174" s="26" t="s">
        <v>18</v>
      </c>
      <c r="K174" s="103" t="str">
        <f t="shared" si="32"/>
        <v>100</v>
      </c>
    </row>
    <row r="175" spans="1:16" s="12" customFormat="1" x14ac:dyDescent="0.25">
      <c r="A175" s="63"/>
      <c r="B175" s="43" t="s">
        <v>25</v>
      </c>
      <c r="C175" s="24" t="s">
        <v>107</v>
      </c>
      <c r="D175" s="25">
        <v>0.54166666666666663</v>
      </c>
      <c r="E175" s="25">
        <v>0.61111111111111105</v>
      </c>
      <c r="F175" s="17">
        <f t="shared" si="30"/>
        <v>100</v>
      </c>
      <c r="G175" s="32">
        <f t="shared" si="31"/>
        <v>2</v>
      </c>
      <c r="H175" s="16" t="s">
        <v>87</v>
      </c>
      <c r="I175" s="26" t="s">
        <v>13</v>
      </c>
      <c r="J175" s="26" t="s">
        <v>17</v>
      </c>
      <c r="K175" s="103" t="str">
        <f t="shared" si="32"/>
        <v>100</v>
      </c>
    </row>
    <row r="176" spans="1:16" s="12" customFormat="1" x14ac:dyDescent="0.25">
      <c r="A176" s="63"/>
      <c r="B176" s="43" t="s">
        <v>25</v>
      </c>
      <c r="C176" s="24" t="s">
        <v>95</v>
      </c>
      <c r="D176" s="25">
        <v>0.43055555555555558</v>
      </c>
      <c r="E176" s="25">
        <v>0.5</v>
      </c>
      <c r="F176" s="17">
        <f t="shared" si="30"/>
        <v>100</v>
      </c>
      <c r="G176" s="32">
        <f t="shared" si="31"/>
        <v>2</v>
      </c>
      <c r="H176" s="16" t="s">
        <v>87</v>
      </c>
      <c r="I176" s="26" t="s">
        <v>31</v>
      </c>
      <c r="J176" s="26" t="s">
        <v>17</v>
      </c>
      <c r="K176" s="103" t="str">
        <f t="shared" si="32"/>
        <v>100</v>
      </c>
    </row>
    <row r="177" spans="1:11" s="12" customFormat="1" x14ac:dyDescent="0.25">
      <c r="A177" s="63"/>
      <c r="B177" s="43" t="s">
        <v>25</v>
      </c>
      <c r="C177" s="24" t="s">
        <v>95</v>
      </c>
      <c r="D177" s="25">
        <v>0.61111111111111116</v>
      </c>
      <c r="E177" s="25">
        <v>0.68055555555555558</v>
      </c>
      <c r="F177" s="17">
        <f t="shared" si="30"/>
        <v>100</v>
      </c>
      <c r="G177" s="32">
        <f t="shared" si="31"/>
        <v>2</v>
      </c>
      <c r="H177" s="16" t="s">
        <v>87</v>
      </c>
      <c r="I177" s="26" t="s">
        <v>31</v>
      </c>
      <c r="J177" s="26" t="s">
        <v>19</v>
      </c>
      <c r="K177" s="103" t="str">
        <f t="shared" si="32"/>
        <v>100</v>
      </c>
    </row>
    <row r="178" spans="1:11" s="12" customFormat="1" x14ac:dyDescent="0.25">
      <c r="A178" s="63"/>
      <c r="B178" s="43" t="s">
        <v>25</v>
      </c>
      <c r="C178" s="24" t="s">
        <v>95</v>
      </c>
      <c r="D178" s="25">
        <v>0.3263888888888889</v>
      </c>
      <c r="E178" s="25">
        <v>0.3611111111111111</v>
      </c>
      <c r="F178" s="17">
        <f t="shared" si="30"/>
        <v>50</v>
      </c>
      <c r="G178" s="32">
        <f t="shared" si="31"/>
        <v>1</v>
      </c>
      <c r="H178" s="16" t="s">
        <v>87</v>
      </c>
      <c r="I178" s="26" t="s">
        <v>13</v>
      </c>
      <c r="J178" s="26" t="s">
        <v>17</v>
      </c>
      <c r="K178" s="103" t="str">
        <f t="shared" si="32"/>
        <v>50</v>
      </c>
    </row>
    <row r="179" spans="1:11" s="12" customFormat="1" x14ac:dyDescent="0.25">
      <c r="A179" s="63"/>
      <c r="B179" s="43" t="s">
        <v>25</v>
      </c>
      <c r="C179" s="24" t="s">
        <v>95</v>
      </c>
      <c r="D179" s="25">
        <v>0.3611111111111111</v>
      </c>
      <c r="E179" s="25">
        <v>0.39583333333333331</v>
      </c>
      <c r="F179" s="17">
        <f t="shared" si="30"/>
        <v>50</v>
      </c>
      <c r="G179" s="32">
        <f t="shared" si="31"/>
        <v>1</v>
      </c>
      <c r="H179" s="16" t="s">
        <v>87</v>
      </c>
      <c r="I179" s="26" t="s">
        <v>13</v>
      </c>
      <c r="J179" s="26" t="s">
        <v>18</v>
      </c>
      <c r="K179" s="103" t="str">
        <f t="shared" si="32"/>
        <v>50</v>
      </c>
    </row>
    <row r="180" spans="1:11" s="12" customFormat="1" x14ac:dyDescent="0.25">
      <c r="A180" s="63"/>
      <c r="B180" s="43" t="s">
        <v>25</v>
      </c>
      <c r="C180" s="104" t="s">
        <v>100</v>
      </c>
      <c r="D180" s="25">
        <v>0.3611111111111111</v>
      </c>
      <c r="E180" s="25">
        <v>0.43055555555555558</v>
      </c>
      <c r="F180" s="17">
        <f t="shared" si="30"/>
        <v>100</v>
      </c>
      <c r="G180" s="32">
        <f t="shared" si="31"/>
        <v>2</v>
      </c>
      <c r="H180" s="16" t="s">
        <v>56</v>
      </c>
      <c r="I180" s="26" t="s">
        <v>31</v>
      </c>
      <c r="J180" s="26" t="s">
        <v>14</v>
      </c>
      <c r="K180" s="103" t="str">
        <f t="shared" si="32"/>
        <v>100</v>
      </c>
    </row>
    <row r="181" spans="1:11" s="12" customFormat="1" x14ac:dyDescent="0.25">
      <c r="A181" s="63"/>
      <c r="B181" s="43" t="s">
        <v>25</v>
      </c>
      <c r="C181" s="104" t="s">
        <v>100</v>
      </c>
      <c r="D181" s="25">
        <v>0.43055555555555558</v>
      </c>
      <c r="E181" s="25">
        <v>0.5</v>
      </c>
      <c r="F181" s="17">
        <f t="shared" si="30"/>
        <v>100</v>
      </c>
      <c r="G181" s="32">
        <f t="shared" si="31"/>
        <v>2</v>
      </c>
      <c r="H181" s="16" t="s">
        <v>56</v>
      </c>
      <c r="I181" s="26" t="s">
        <v>31</v>
      </c>
      <c r="J181" s="26" t="s">
        <v>16</v>
      </c>
      <c r="K181" s="103" t="str">
        <f t="shared" si="32"/>
        <v>100</v>
      </c>
    </row>
    <row r="182" spans="1:11" s="12" customFormat="1" x14ac:dyDescent="0.25">
      <c r="A182" s="63"/>
      <c r="B182" s="43" t="s">
        <v>25</v>
      </c>
      <c r="C182" s="24" t="s">
        <v>106</v>
      </c>
      <c r="D182" s="25">
        <v>0.57638888888888895</v>
      </c>
      <c r="E182" s="25">
        <v>0.61111111111111105</v>
      </c>
      <c r="F182" s="17">
        <f t="shared" si="30"/>
        <v>50</v>
      </c>
      <c r="G182" s="32">
        <f t="shared" si="31"/>
        <v>1</v>
      </c>
      <c r="H182" s="16" t="s">
        <v>87</v>
      </c>
      <c r="I182" s="26" t="s">
        <v>13</v>
      </c>
      <c r="J182" s="26" t="s">
        <v>19</v>
      </c>
      <c r="K182" s="103" t="str">
        <f t="shared" si="32"/>
        <v>50</v>
      </c>
    </row>
    <row r="183" spans="1:11" s="12" customFormat="1" x14ac:dyDescent="0.25">
      <c r="A183" s="63"/>
      <c r="B183" s="43" t="s">
        <v>25</v>
      </c>
      <c r="C183" s="24" t="s">
        <v>99</v>
      </c>
      <c r="D183" s="25">
        <v>0.43055555555555558</v>
      </c>
      <c r="E183" s="25">
        <v>0.5</v>
      </c>
      <c r="F183" s="17">
        <f t="shared" si="30"/>
        <v>100</v>
      </c>
      <c r="G183" s="32">
        <f t="shared" si="31"/>
        <v>2</v>
      </c>
      <c r="H183" s="16" t="s">
        <v>87</v>
      </c>
      <c r="I183" s="26" t="s">
        <v>31</v>
      </c>
      <c r="J183" s="26" t="s">
        <v>18</v>
      </c>
      <c r="K183" s="103" t="str">
        <f t="shared" si="32"/>
        <v>100</v>
      </c>
    </row>
    <row r="184" spans="1:11" s="12" customFormat="1" x14ac:dyDescent="0.25">
      <c r="A184" s="63"/>
      <c r="B184" s="43" t="s">
        <v>25</v>
      </c>
      <c r="C184" s="44" t="s">
        <v>119</v>
      </c>
      <c r="D184" s="45">
        <v>0.43055555555555558</v>
      </c>
      <c r="E184" s="45">
        <v>0.5</v>
      </c>
      <c r="F184" s="51">
        <f t="shared" si="30"/>
        <v>100</v>
      </c>
      <c r="G184" s="49">
        <f t="shared" si="31"/>
        <v>2</v>
      </c>
      <c r="H184" s="43" t="s">
        <v>87</v>
      </c>
      <c r="I184" s="46" t="s">
        <v>31</v>
      </c>
      <c r="J184" s="46" t="s">
        <v>17</v>
      </c>
      <c r="K184" s="47" t="str">
        <f t="shared" si="32"/>
        <v>100</v>
      </c>
    </row>
    <row r="185" spans="1:11" s="12" customFormat="1" x14ac:dyDescent="0.25">
      <c r="A185" s="63"/>
      <c r="B185" s="43" t="s">
        <v>25</v>
      </c>
      <c r="C185" s="44" t="s">
        <v>119</v>
      </c>
      <c r="D185" s="45">
        <v>0.3611111111111111</v>
      </c>
      <c r="E185" s="45">
        <v>0.43055555555555558</v>
      </c>
      <c r="F185" s="51">
        <f t="shared" si="30"/>
        <v>100</v>
      </c>
      <c r="G185" s="49">
        <f t="shared" si="31"/>
        <v>2</v>
      </c>
      <c r="H185" s="43" t="s">
        <v>87</v>
      </c>
      <c r="I185" s="46" t="s">
        <v>31</v>
      </c>
      <c r="J185" s="46" t="s">
        <v>19</v>
      </c>
      <c r="K185" s="47" t="str">
        <f t="shared" si="32"/>
        <v>100</v>
      </c>
    </row>
    <row r="186" spans="1:11" s="14" customFormat="1" x14ac:dyDescent="0.25">
      <c r="A186" s="55"/>
      <c r="B186" s="64"/>
      <c r="C186" s="55"/>
      <c r="D186" s="55"/>
      <c r="E186" s="55"/>
      <c r="F186" s="55"/>
      <c r="G186" s="56"/>
      <c r="H186" s="55"/>
      <c r="I186" s="64"/>
      <c r="J186" s="55"/>
      <c r="K186" s="75"/>
    </row>
    <row r="187" spans="1:11" s="14" customFormat="1" x14ac:dyDescent="0.25">
      <c r="A187" s="169">
        <v>9</v>
      </c>
      <c r="B187" s="65" t="s">
        <v>81</v>
      </c>
      <c r="C187" s="44" t="s">
        <v>108</v>
      </c>
      <c r="D187" s="45">
        <v>0.54166666666666663</v>
      </c>
      <c r="E187" s="45">
        <v>0.61111111111111105</v>
      </c>
      <c r="F187" s="51">
        <f t="shared" ref="F187:F189" si="33">VALUE(K187)</f>
        <v>100</v>
      </c>
      <c r="G187" s="49">
        <f t="shared" ref="G187:G189" si="34">IF(F187&gt;=300,6,IF(F187&gt;=250,5,IF(F187&gt;=200,4,IF(F187&gt;=150,3,IF(F187&gt;=100,2,IF(F187&gt;=50,1,0))))))</f>
        <v>2</v>
      </c>
      <c r="H187" s="43" t="s">
        <v>42</v>
      </c>
      <c r="I187" s="46" t="s">
        <v>31</v>
      </c>
      <c r="J187" s="46" t="s">
        <v>18</v>
      </c>
      <c r="K187" s="47" t="str">
        <f t="shared" ref="K187:K191" si="35">TEXT(E187-D187,"[mm]")</f>
        <v>100</v>
      </c>
    </row>
    <row r="188" spans="1:11" s="14" customFormat="1" x14ac:dyDescent="0.25">
      <c r="A188" s="63"/>
      <c r="B188" s="65" t="s">
        <v>81</v>
      </c>
      <c r="C188" s="44" t="s">
        <v>101</v>
      </c>
      <c r="D188" s="45">
        <v>0.54166666666666663</v>
      </c>
      <c r="E188" s="45">
        <v>0.61111111111111105</v>
      </c>
      <c r="F188" s="51">
        <f t="shared" si="33"/>
        <v>100</v>
      </c>
      <c r="G188" s="49">
        <f t="shared" si="34"/>
        <v>2</v>
      </c>
      <c r="H188" s="43" t="s">
        <v>42</v>
      </c>
      <c r="I188" s="46" t="s">
        <v>31</v>
      </c>
      <c r="J188" s="46" t="s">
        <v>18</v>
      </c>
      <c r="K188" s="47" t="str">
        <f t="shared" si="35"/>
        <v>100</v>
      </c>
    </row>
    <row r="189" spans="1:11" s="14" customFormat="1" x14ac:dyDescent="0.25">
      <c r="A189" s="63"/>
      <c r="B189" s="65" t="s">
        <v>81</v>
      </c>
      <c r="C189" s="44" t="s">
        <v>102</v>
      </c>
      <c r="D189" s="45">
        <v>0.54166666666666663</v>
      </c>
      <c r="E189" s="45">
        <v>0.61111111111111105</v>
      </c>
      <c r="F189" s="51">
        <f t="shared" si="33"/>
        <v>100</v>
      </c>
      <c r="G189" s="49">
        <f t="shared" si="34"/>
        <v>2</v>
      </c>
      <c r="H189" s="43" t="s">
        <v>42</v>
      </c>
      <c r="I189" s="46" t="s">
        <v>31</v>
      </c>
      <c r="J189" s="46" t="s">
        <v>18</v>
      </c>
      <c r="K189" s="47" t="str">
        <f t="shared" si="35"/>
        <v>100</v>
      </c>
    </row>
    <row r="190" spans="1:11" s="14" customFormat="1" x14ac:dyDescent="0.25">
      <c r="A190" s="63"/>
      <c r="B190" s="65" t="s">
        <v>81</v>
      </c>
      <c r="C190" s="44" t="s">
        <v>108</v>
      </c>
      <c r="D190" s="45">
        <v>0.3263888888888889</v>
      </c>
      <c r="E190" s="45">
        <v>0.39583333333333331</v>
      </c>
      <c r="F190" s="51">
        <f t="shared" ref="F190:F191" si="36">VALUE(K190)</f>
        <v>100</v>
      </c>
      <c r="G190" s="49">
        <f t="shared" ref="G190:G191" si="37">IF(F190&gt;=300,6,IF(F190&gt;=250,5,IF(F190&gt;=200,4,IF(F190&gt;=150,3,IF(F190&gt;=100,2,IF(F190&gt;=50,1,0))))))</f>
        <v>2</v>
      </c>
      <c r="H190" s="43" t="s">
        <v>42</v>
      </c>
      <c r="I190" s="46" t="s">
        <v>31</v>
      </c>
      <c r="J190" s="46" t="s">
        <v>19</v>
      </c>
      <c r="K190" s="47" t="str">
        <f t="shared" si="35"/>
        <v>100</v>
      </c>
    </row>
    <row r="191" spans="1:11" s="14" customFormat="1" x14ac:dyDescent="0.25">
      <c r="A191" s="63"/>
      <c r="B191" s="65" t="s">
        <v>81</v>
      </c>
      <c r="C191" s="44" t="s">
        <v>101</v>
      </c>
      <c r="D191" s="45">
        <v>0.3263888888888889</v>
      </c>
      <c r="E191" s="45">
        <v>0.39583333333333331</v>
      </c>
      <c r="F191" s="51">
        <f t="shared" si="36"/>
        <v>100</v>
      </c>
      <c r="G191" s="49">
        <f t="shared" si="37"/>
        <v>2</v>
      </c>
      <c r="H191" s="43" t="s">
        <v>42</v>
      </c>
      <c r="I191" s="46" t="s">
        <v>31</v>
      </c>
      <c r="J191" s="46" t="s">
        <v>19</v>
      </c>
      <c r="K191" s="47" t="str">
        <f t="shared" si="35"/>
        <v>100</v>
      </c>
    </row>
    <row r="192" spans="1:11" s="14" customFormat="1" x14ac:dyDescent="0.25">
      <c r="A192" s="63"/>
      <c r="B192" s="65" t="s">
        <v>81</v>
      </c>
      <c r="C192" s="44" t="s">
        <v>99</v>
      </c>
      <c r="D192" s="45">
        <v>0.3263888888888889</v>
      </c>
      <c r="E192" s="45">
        <v>0.39583333333333331</v>
      </c>
      <c r="F192" s="51">
        <f>VALUE(K192)</f>
        <v>100</v>
      </c>
      <c r="G192" s="49">
        <f>IF(F192&gt;=300,6,IF(F192&gt;=250,5,IF(F192&gt;=200,4,IF(F192&gt;=150,3,IF(F192&gt;=100,2,IF(F192&gt;=50,1,0))))))</f>
        <v>2</v>
      </c>
      <c r="H192" s="43" t="s">
        <v>42</v>
      </c>
      <c r="I192" s="46" t="s">
        <v>31</v>
      </c>
      <c r="J192" s="46" t="s">
        <v>19</v>
      </c>
      <c r="K192" s="47" t="str">
        <f t="shared" ref="K192" si="38">TEXT(E192-D192,"[mm]")</f>
        <v>100</v>
      </c>
    </row>
    <row r="193" spans="1:15" s="14" customFormat="1" x14ac:dyDescent="0.25">
      <c r="A193" s="55"/>
      <c r="B193" s="64"/>
      <c r="C193" s="55"/>
      <c r="D193" s="55"/>
      <c r="E193" s="55"/>
      <c r="F193" s="55"/>
      <c r="G193" s="56"/>
      <c r="H193" s="55"/>
      <c r="I193" s="64"/>
      <c r="J193" s="55"/>
      <c r="K193" s="75"/>
    </row>
    <row r="194" spans="1:15" x14ac:dyDescent="0.25">
      <c r="A194" s="169">
        <v>10</v>
      </c>
      <c r="B194" s="43" t="s">
        <v>58</v>
      </c>
      <c r="C194" s="44" t="s">
        <v>109</v>
      </c>
      <c r="D194" s="45">
        <v>0.43055555555555558</v>
      </c>
      <c r="E194" s="45">
        <v>0.51388888888888895</v>
      </c>
      <c r="F194" s="51">
        <f t="shared" ref="F194:F200" si="39">VALUE(K194)</f>
        <v>120</v>
      </c>
      <c r="G194" s="49">
        <f t="shared" ref="G194:G200" si="40">IF(F194&gt;=300,6,IF(F194&gt;=250,5,IF(F194&gt;=200,4,IF(F194&gt;=150,3,IF(F194&gt;=100,2,IF(F194&gt;=50,1,0))))))</f>
        <v>2</v>
      </c>
      <c r="H194" s="43" t="s">
        <v>34</v>
      </c>
      <c r="I194" s="46" t="s">
        <v>13</v>
      </c>
      <c r="J194" s="46" t="s">
        <v>18</v>
      </c>
      <c r="K194" s="47" t="str">
        <f t="shared" ref="K194:K200" si="41">TEXT(E194-D194,"[mm]")</f>
        <v>120</v>
      </c>
    </row>
    <row r="195" spans="1:15" x14ac:dyDescent="0.25">
      <c r="A195" s="66"/>
      <c r="B195" s="43" t="s">
        <v>57</v>
      </c>
      <c r="C195" s="62" t="s">
        <v>97</v>
      </c>
      <c r="D195" s="45">
        <v>0.43055555555555558</v>
      </c>
      <c r="E195" s="45">
        <v>0.5</v>
      </c>
      <c r="F195" s="51">
        <f t="shared" si="39"/>
        <v>100</v>
      </c>
      <c r="G195" s="49">
        <f t="shared" si="40"/>
        <v>2</v>
      </c>
      <c r="H195" s="43" t="s">
        <v>60</v>
      </c>
      <c r="I195" s="46" t="s">
        <v>31</v>
      </c>
      <c r="J195" s="46" t="s">
        <v>16</v>
      </c>
      <c r="K195" s="47" t="str">
        <f t="shared" si="41"/>
        <v>100</v>
      </c>
    </row>
    <row r="196" spans="1:15" x14ac:dyDescent="0.25">
      <c r="A196" s="66"/>
      <c r="B196" s="43" t="s">
        <v>58</v>
      </c>
      <c r="C196" s="44" t="s">
        <v>108</v>
      </c>
      <c r="D196" s="45">
        <v>0.39583333333333331</v>
      </c>
      <c r="E196" s="45">
        <v>0.43055555555555558</v>
      </c>
      <c r="F196" s="51">
        <f t="shared" si="39"/>
        <v>50</v>
      </c>
      <c r="G196" s="49">
        <f t="shared" si="40"/>
        <v>1</v>
      </c>
      <c r="H196" s="43" t="s">
        <v>60</v>
      </c>
      <c r="I196" s="46" t="s">
        <v>13</v>
      </c>
      <c r="J196" s="46" t="s">
        <v>14</v>
      </c>
      <c r="K196" s="47" t="str">
        <f t="shared" si="41"/>
        <v>50</v>
      </c>
    </row>
    <row r="197" spans="1:15" x14ac:dyDescent="0.25">
      <c r="A197" s="66"/>
      <c r="B197" s="43" t="s">
        <v>58</v>
      </c>
      <c r="C197" s="44" t="s">
        <v>108</v>
      </c>
      <c r="D197" s="45">
        <v>0.54166666666666663</v>
      </c>
      <c r="E197" s="45">
        <v>0.61111111111111105</v>
      </c>
      <c r="F197" s="51">
        <f t="shared" si="39"/>
        <v>100</v>
      </c>
      <c r="G197" s="49">
        <f t="shared" si="40"/>
        <v>2</v>
      </c>
      <c r="H197" s="43" t="s">
        <v>60</v>
      </c>
      <c r="I197" s="46" t="s">
        <v>31</v>
      </c>
      <c r="J197" s="46" t="s">
        <v>14</v>
      </c>
      <c r="K197" s="47" t="str">
        <f t="shared" si="41"/>
        <v>100</v>
      </c>
    </row>
    <row r="198" spans="1:15" x14ac:dyDescent="0.25">
      <c r="A198" s="66"/>
      <c r="B198" s="43" t="s">
        <v>58</v>
      </c>
      <c r="C198" s="44" t="s">
        <v>108</v>
      </c>
      <c r="D198" s="45">
        <v>0.33333333333333331</v>
      </c>
      <c r="E198" s="45">
        <v>0.36805555555555558</v>
      </c>
      <c r="F198" s="51">
        <f t="shared" si="39"/>
        <v>50</v>
      </c>
      <c r="G198" s="49">
        <f t="shared" si="40"/>
        <v>1</v>
      </c>
      <c r="H198" s="43" t="s">
        <v>60</v>
      </c>
      <c r="I198" s="46" t="s">
        <v>13</v>
      </c>
      <c r="J198" s="46" t="s">
        <v>15</v>
      </c>
      <c r="K198" s="47" t="str">
        <f t="shared" si="41"/>
        <v>50</v>
      </c>
    </row>
    <row r="199" spans="1:15" x14ac:dyDescent="0.25">
      <c r="A199" s="66"/>
      <c r="B199" s="43" t="s">
        <v>58</v>
      </c>
      <c r="C199" s="44" t="s">
        <v>108</v>
      </c>
      <c r="D199" s="45">
        <v>0.43055555555555558</v>
      </c>
      <c r="E199" s="45">
        <v>0.5</v>
      </c>
      <c r="F199" s="51">
        <f t="shared" si="39"/>
        <v>100</v>
      </c>
      <c r="G199" s="49">
        <f t="shared" si="40"/>
        <v>2</v>
      </c>
      <c r="H199" s="43" t="s">
        <v>60</v>
      </c>
      <c r="I199" s="46" t="s">
        <v>31</v>
      </c>
      <c r="J199" s="46" t="s">
        <v>15</v>
      </c>
      <c r="K199" s="47" t="str">
        <f t="shared" si="41"/>
        <v>100</v>
      </c>
    </row>
    <row r="200" spans="1:15" x14ac:dyDescent="0.25">
      <c r="A200" s="66"/>
      <c r="B200" s="43" t="s">
        <v>58</v>
      </c>
      <c r="C200" s="44" t="s">
        <v>108</v>
      </c>
      <c r="D200" s="45">
        <v>0.58333333333333337</v>
      </c>
      <c r="E200" s="45">
        <v>0.61805555555555558</v>
      </c>
      <c r="F200" s="51">
        <f t="shared" si="39"/>
        <v>50</v>
      </c>
      <c r="G200" s="49">
        <f t="shared" si="40"/>
        <v>1</v>
      </c>
      <c r="H200" s="43" t="s">
        <v>60</v>
      </c>
      <c r="I200" s="46" t="s">
        <v>13</v>
      </c>
      <c r="J200" s="46" t="s">
        <v>16</v>
      </c>
      <c r="K200" s="47" t="str">
        <f t="shared" si="41"/>
        <v>50</v>
      </c>
      <c r="M200" s="5" t="s">
        <v>29</v>
      </c>
      <c r="O200" s="5" t="s">
        <v>27</v>
      </c>
    </row>
    <row r="201" spans="1:15" x14ac:dyDescent="0.25">
      <c r="A201" s="66"/>
      <c r="B201" s="43" t="s">
        <v>58</v>
      </c>
      <c r="C201" s="112" t="s">
        <v>126</v>
      </c>
      <c r="D201" s="109">
        <v>0.68055555555555547</v>
      </c>
      <c r="E201" s="109">
        <v>0.75</v>
      </c>
      <c r="F201" s="100">
        <v>100</v>
      </c>
      <c r="G201" s="110">
        <v>2</v>
      </c>
      <c r="H201" s="111" t="s">
        <v>67</v>
      </c>
      <c r="I201" s="112" t="s">
        <v>13</v>
      </c>
      <c r="J201" s="112" t="s">
        <v>127</v>
      </c>
      <c r="K201" s="13" t="s">
        <v>118</v>
      </c>
    </row>
    <row r="202" spans="1:15" x14ac:dyDescent="0.25">
      <c r="A202" s="66"/>
      <c r="B202" s="43" t="s">
        <v>58</v>
      </c>
      <c r="C202" s="112" t="s">
        <v>124</v>
      </c>
      <c r="D202" s="109">
        <v>0.54166666666666663</v>
      </c>
      <c r="E202" s="109">
        <v>0.61111111111111105</v>
      </c>
      <c r="F202" s="100">
        <v>100</v>
      </c>
      <c r="G202" s="110">
        <v>2</v>
      </c>
      <c r="H202" s="111" t="s">
        <v>67</v>
      </c>
      <c r="I202" s="112" t="s">
        <v>13</v>
      </c>
      <c r="J202" s="112" t="s">
        <v>128</v>
      </c>
      <c r="K202" s="13" t="s">
        <v>118</v>
      </c>
    </row>
    <row r="203" spans="1:15" x14ac:dyDescent="0.25">
      <c r="A203" s="66"/>
      <c r="B203" s="43" t="s">
        <v>57</v>
      </c>
      <c r="C203" s="44" t="s">
        <v>98</v>
      </c>
      <c r="D203" s="45">
        <v>0.43055555555555558</v>
      </c>
      <c r="E203" s="45">
        <v>0.5</v>
      </c>
      <c r="F203" s="51">
        <f t="shared" ref="F203:F208" si="42">VALUE(K203)</f>
        <v>100</v>
      </c>
      <c r="G203" s="49">
        <f t="shared" ref="G203:G208" si="43">IF(F203&gt;=300,6,IF(F203&gt;=250,5,IF(F203&gt;=200,4,IF(F203&gt;=150,3,IF(F203&gt;=100,2,IF(F203&gt;=50,1,0))))))</f>
        <v>2</v>
      </c>
      <c r="H203" s="43" t="s">
        <v>60</v>
      </c>
      <c r="I203" s="46" t="s">
        <v>31</v>
      </c>
      <c r="J203" s="46" t="s">
        <v>16</v>
      </c>
      <c r="K203" s="47" t="str">
        <f t="shared" ref="K203:K208" si="44">TEXT(E203-D203,"[mm]")</f>
        <v>100</v>
      </c>
      <c r="M203" s="5" t="s">
        <v>27</v>
      </c>
    </row>
    <row r="204" spans="1:15" x14ac:dyDescent="0.25">
      <c r="A204" s="66"/>
      <c r="B204" s="43" t="s">
        <v>58</v>
      </c>
      <c r="C204" s="44" t="s">
        <v>107</v>
      </c>
      <c r="D204" s="45">
        <v>0.39583333333333331</v>
      </c>
      <c r="E204" s="45">
        <v>0.43055555555555558</v>
      </c>
      <c r="F204" s="51">
        <f t="shared" si="42"/>
        <v>50</v>
      </c>
      <c r="G204" s="49">
        <f t="shared" si="43"/>
        <v>1</v>
      </c>
      <c r="H204" s="43" t="s">
        <v>60</v>
      </c>
      <c r="I204" s="46" t="s">
        <v>13</v>
      </c>
      <c r="J204" s="46" t="s">
        <v>14</v>
      </c>
      <c r="K204" s="47" t="str">
        <f t="shared" si="44"/>
        <v>50</v>
      </c>
    </row>
    <row r="205" spans="1:15" x14ac:dyDescent="0.25">
      <c r="A205" s="66"/>
      <c r="B205" s="43" t="s">
        <v>58</v>
      </c>
      <c r="C205" s="44" t="s">
        <v>107</v>
      </c>
      <c r="D205" s="45">
        <v>0.54166666666666663</v>
      </c>
      <c r="E205" s="45">
        <v>0.61111111111111105</v>
      </c>
      <c r="F205" s="51">
        <f t="shared" si="42"/>
        <v>100</v>
      </c>
      <c r="G205" s="49">
        <f t="shared" si="43"/>
        <v>2</v>
      </c>
      <c r="H205" s="43" t="s">
        <v>60</v>
      </c>
      <c r="I205" s="46" t="s">
        <v>31</v>
      </c>
      <c r="J205" s="46" t="s">
        <v>14</v>
      </c>
      <c r="K205" s="47" t="str">
        <f t="shared" si="44"/>
        <v>100</v>
      </c>
    </row>
    <row r="206" spans="1:15" x14ac:dyDescent="0.25">
      <c r="A206" s="66"/>
      <c r="B206" s="43" t="s">
        <v>58</v>
      </c>
      <c r="C206" s="44" t="s">
        <v>107</v>
      </c>
      <c r="D206" s="45">
        <v>0.33333333333333331</v>
      </c>
      <c r="E206" s="45">
        <v>0.36805555555555558</v>
      </c>
      <c r="F206" s="51">
        <f t="shared" si="42"/>
        <v>50</v>
      </c>
      <c r="G206" s="49">
        <f t="shared" si="43"/>
        <v>1</v>
      </c>
      <c r="H206" s="43" t="s">
        <v>60</v>
      </c>
      <c r="I206" s="46" t="s">
        <v>13</v>
      </c>
      <c r="J206" s="46" t="s">
        <v>15</v>
      </c>
      <c r="K206" s="47" t="str">
        <f t="shared" si="44"/>
        <v>50</v>
      </c>
      <c r="O206" s="5" t="s">
        <v>27</v>
      </c>
    </row>
    <row r="207" spans="1:15" x14ac:dyDescent="0.25">
      <c r="A207" s="66"/>
      <c r="B207" s="43" t="s">
        <v>58</v>
      </c>
      <c r="C207" s="44" t="s">
        <v>107</v>
      </c>
      <c r="D207" s="45">
        <v>0.43055555555555558</v>
      </c>
      <c r="E207" s="45">
        <v>0.5</v>
      </c>
      <c r="F207" s="51">
        <f t="shared" si="42"/>
        <v>100</v>
      </c>
      <c r="G207" s="49">
        <f t="shared" si="43"/>
        <v>2</v>
      </c>
      <c r="H207" s="43" t="s">
        <v>60</v>
      </c>
      <c r="I207" s="46" t="s">
        <v>31</v>
      </c>
      <c r="J207" s="46" t="s">
        <v>15</v>
      </c>
      <c r="K207" s="47" t="str">
        <f t="shared" si="44"/>
        <v>100</v>
      </c>
    </row>
    <row r="208" spans="1:15" x14ac:dyDescent="0.25">
      <c r="A208" s="66"/>
      <c r="B208" s="43" t="s">
        <v>58</v>
      </c>
      <c r="C208" s="44" t="s">
        <v>107</v>
      </c>
      <c r="D208" s="45">
        <v>0.58333333333333337</v>
      </c>
      <c r="E208" s="45">
        <v>0.61805555555555558</v>
      </c>
      <c r="F208" s="51">
        <f t="shared" si="42"/>
        <v>50</v>
      </c>
      <c r="G208" s="49">
        <f t="shared" si="43"/>
        <v>1</v>
      </c>
      <c r="H208" s="43" t="s">
        <v>60</v>
      </c>
      <c r="I208" s="46" t="s">
        <v>13</v>
      </c>
      <c r="J208" s="46" t="s">
        <v>16</v>
      </c>
      <c r="K208" s="47" t="str">
        <f t="shared" si="44"/>
        <v>50</v>
      </c>
    </row>
    <row r="209" spans="1:24" x14ac:dyDescent="0.25">
      <c r="A209" s="66"/>
      <c r="B209" s="43" t="s">
        <v>58</v>
      </c>
      <c r="C209" s="112" t="s">
        <v>122</v>
      </c>
      <c r="D209" s="109">
        <v>0.68055555555555547</v>
      </c>
      <c r="E209" s="109">
        <v>0.75</v>
      </c>
      <c r="F209" s="100">
        <v>100</v>
      </c>
      <c r="G209" s="110">
        <v>2</v>
      </c>
      <c r="H209" s="111" t="s">
        <v>67</v>
      </c>
      <c r="I209" s="112" t="s">
        <v>13</v>
      </c>
      <c r="J209" s="112" t="s">
        <v>127</v>
      </c>
      <c r="K209" s="13" t="s">
        <v>118</v>
      </c>
    </row>
    <row r="210" spans="1:24" x14ac:dyDescent="0.25">
      <c r="A210" s="66"/>
      <c r="B210" s="43" t="s">
        <v>58</v>
      </c>
      <c r="C210" s="112" t="s">
        <v>121</v>
      </c>
      <c r="D210" s="109">
        <v>0.54166666666666663</v>
      </c>
      <c r="E210" s="109">
        <v>0.61111111111111105</v>
      </c>
      <c r="F210" s="100">
        <v>100</v>
      </c>
      <c r="G210" s="110">
        <v>2</v>
      </c>
      <c r="H210" s="111" t="s">
        <v>67</v>
      </c>
      <c r="I210" s="112" t="s">
        <v>13</v>
      </c>
      <c r="J210" s="112" t="s">
        <v>128</v>
      </c>
      <c r="K210" s="13" t="s">
        <v>118</v>
      </c>
    </row>
    <row r="211" spans="1:24" x14ac:dyDescent="0.25">
      <c r="A211" s="66"/>
      <c r="B211" s="43" t="s">
        <v>58</v>
      </c>
      <c r="C211" s="44" t="s">
        <v>99</v>
      </c>
      <c r="D211" s="45">
        <v>0.39583333333333331</v>
      </c>
      <c r="E211" s="45">
        <v>0.43055555555555558</v>
      </c>
      <c r="F211" s="51">
        <f>VALUE(K211)</f>
        <v>50</v>
      </c>
      <c r="G211" s="49">
        <f>IF(F211&gt;=300,6,IF(F211&gt;=250,5,IF(F211&gt;=200,4,IF(F211&gt;=150,3,IF(F211&gt;=100,2,IF(F211&gt;=50,1,0))))))</f>
        <v>1</v>
      </c>
      <c r="H211" s="43" t="s">
        <v>60</v>
      </c>
      <c r="I211" s="46" t="s">
        <v>13</v>
      </c>
      <c r="J211" s="46" t="s">
        <v>14</v>
      </c>
      <c r="K211" s="47" t="str">
        <f>TEXT(E211-D211,"[mm]")</f>
        <v>50</v>
      </c>
    </row>
    <row r="212" spans="1:24" x14ac:dyDescent="0.25">
      <c r="A212" s="66"/>
      <c r="B212" s="43" t="s">
        <v>58</v>
      </c>
      <c r="C212" s="44" t="s">
        <v>99</v>
      </c>
      <c r="D212" s="45">
        <v>0.33333333333333331</v>
      </c>
      <c r="E212" s="45">
        <v>0.36805555555555558</v>
      </c>
      <c r="F212" s="51">
        <f>VALUE(K212)</f>
        <v>50</v>
      </c>
      <c r="G212" s="49">
        <f>IF(F212&gt;=300,6,IF(F212&gt;=250,5,IF(F212&gt;=200,4,IF(F212&gt;=150,3,IF(F212&gt;=100,2,IF(F212&gt;=50,1,0))))))</f>
        <v>1</v>
      </c>
      <c r="H212" s="43" t="s">
        <v>60</v>
      </c>
      <c r="I212" s="46" t="s">
        <v>13</v>
      </c>
      <c r="J212" s="46" t="s">
        <v>15</v>
      </c>
      <c r="K212" s="47" t="str">
        <f>TEXT(E212-D212,"[mm]")</f>
        <v>50</v>
      </c>
    </row>
    <row r="213" spans="1:24" x14ac:dyDescent="0.25">
      <c r="A213" s="66"/>
      <c r="B213" s="43" t="s">
        <v>58</v>
      </c>
      <c r="C213" s="44" t="s">
        <v>99</v>
      </c>
      <c r="D213" s="45">
        <v>0.58333333333333337</v>
      </c>
      <c r="E213" s="45">
        <v>0.61805555555555558</v>
      </c>
      <c r="F213" s="51">
        <f>VALUE(K213)</f>
        <v>50</v>
      </c>
      <c r="G213" s="49">
        <f>IF(F213&gt;=300,6,IF(F213&gt;=250,5,IF(F213&gt;=200,4,IF(F213&gt;=150,3,IF(F213&gt;=100,2,IF(F213&gt;=50,1,0))))))</f>
        <v>1</v>
      </c>
      <c r="H213" s="43" t="s">
        <v>60</v>
      </c>
      <c r="I213" s="46" t="s">
        <v>13</v>
      </c>
      <c r="J213" s="46" t="s">
        <v>16</v>
      </c>
      <c r="K213" s="47" t="str">
        <f>TEXT(E213-D213,"[mm]")</f>
        <v>50</v>
      </c>
    </row>
    <row r="214" spans="1:24" x14ac:dyDescent="0.25">
      <c r="A214" s="66"/>
      <c r="B214" s="43" t="s">
        <v>57</v>
      </c>
      <c r="C214" s="44" t="s">
        <v>99</v>
      </c>
      <c r="D214" s="45">
        <v>0.43055555555555558</v>
      </c>
      <c r="E214" s="45">
        <v>0.5</v>
      </c>
      <c r="F214" s="51">
        <f>VALUE(K214)</f>
        <v>100</v>
      </c>
      <c r="G214" s="49">
        <f>IF(F214&gt;=300,6,IF(F214&gt;=250,5,IF(F214&gt;=200,4,IF(F214&gt;=150,3,IF(F214&gt;=100,2,IF(F214&gt;=50,1,0))))))</f>
        <v>2</v>
      </c>
      <c r="H214" s="43" t="s">
        <v>60</v>
      </c>
      <c r="I214" s="46" t="s">
        <v>31</v>
      </c>
      <c r="J214" s="46" t="s">
        <v>16</v>
      </c>
      <c r="K214" s="47" t="str">
        <f>TEXT(E214-D214,"[mm]")</f>
        <v>100</v>
      </c>
      <c r="L214" s="5" t="s">
        <v>27</v>
      </c>
      <c r="N214" s="5" t="s">
        <v>27</v>
      </c>
      <c r="O214" s="5" t="s">
        <v>27</v>
      </c>
    </row>
    <row r="215" spans="1:24" x14ac:dyDescent="0.25">
      <c r="A215" s="66"/>
      <c r="B215" s="43" t="s">
        <v>58</v>
      </c>
      <c r="C215" s="44" t="s">
        <v>102</v>
      </c>
      <c r="D215" s="45">
        <v>0.43055555555555558</v>
      </c>
      <c r="E215" s="45">
        <v>0.5</v>
      </c>
      <c r="F215" s="51">
        <f>VALUE(K215)</f>
        <v>100</v>
      </c>
      <c r="G215" s="49">
        <f>IF(F215&gt;=300,6,IF(F215&gt;=250,5,IF(F215&gt;=200,4,IF(F215&gt;=150,3,IF(F215&gt;=100,2,IF(F215&gt;=50,1,0))))))</f>
        <v>2</v>
      </c>
      <c r="H215" s="43" t="s">
        <v>60</v>
      </c>
      <c r="I215" s="46" t="s">
        <v>31</v>
      </c>
      <c r="J215" s="46" t="s">
        <v>15</v>
      </c>
      <c r="K215" s="47" t="str">
        <f>TEXT(E215-D215,"[mm]")</f>
        <v>100</v>
      </c>
      <c r="N215" s="5" t="s">
        <v>27</v>
      </c>
    </row>
    <row r="216" spans="1:24" x14ac:dyDescent="0.25">
      <c r="A216" s="66"/>
      <c r="B216" s="43" t="s">
        <v>58</v>
      </c>
      <c r="C216" s="112" t="s">
        <v>123</v>
      </c>
      <c r="D216" s="109">
        <v>0.68055555555555547</v>
      </c>
      <c r="E216" s="109">
        <v>0.75</v>
      </c>
      <c r="F216" s="100">
        <v>100</v>
      </c>
      <c r="G216" s="110">
        <v>2</v>
      </c>
      <c r="H216" s="111" t="s">
        <v>67</v>
      </c>
      <c r="I216" s="112" t="s">
        <v>13</v>
      </c>
      <c r="J216" s="112" t="s">
        <v>127</v>
      </c>
      <c r="K216" s="13" t="s">
        <v>118</v>
      </c>
    </row>
    <row r="217" spans="1:24" x14ac:dyDescent="0.25">
      <c r="A217" s="66"/>
      <c r="B217" s="43" t="s">
        <v>58</v>
      </c>
      <c r="C217" s="44" t="s">
        <v>102</v>
      </c>
      <c r="D217" s="45">
        <v>0.54166666666666663</v>
      </c>
      <c r="E217" s="45">
        <v>0.61111111111111105</v>
      </c>
      <c r="F217" s="51">
        <f>VALUE(K217)</f>
        <v>100</v>
      </c>
      <c r="G217" s="49">
        <f>IF(F217&gt;=300,6,IF(F217&gt;=250,5,IF(F217&gt;=200,4,IF(F217&gt;=150,3,IF(F217&gt;=100,2,IF(F217&gt;=50,1,0))))))</f>
        <v>2</v>
      </c>
      <c r="H217" s="43" t="s">
        <v>60</v>
      </c>
      <c r="I217" s="46" t="s">
        <v>31</v>
      </c>
      <c r="J217" s="46" t="s">
        <v>14</v>
      </c>
      <c r="K217" s="47" t="str">
        <f>TEXT(E217-D217,"[mm]")</f>
        <v>100</v>
      </c>
    </row>
    <row r="218" spans="1:24" x14ac:dyDescent="0.25">
      <c r="A218" s="66"/>
      <c r="B218" s="43" t="s">
        <v>58</v>
      </c>
      <c r="C218" s="112" t="s">
        <v>125</v>
      </c>
      <c r="D218" s="109">
        <v>0.54166666666666663</v>
      </c>
      <c r="E218" s="109">
        <v>0.61111111111111105</v>
      </c>
      <c r="F218" s="100">
        <v>100</v>
      </c>
      <c r="G218" s="110">
        <v>2</v>
      </c>
      <c r="H218" s="111" t="s">
        <v>67</v>
      </c>
      <c r="I218" s="112" t="s">
        <v>13</v>
      </c>
      <c r="J218" s="112" t="s">
        <v>128</v>
      </c>
      <c r="K218" s="13" t="s">
        <v>118</v>
      </c>
    </row>
    <row r="219" spans="1:24" s="14" customFormat="1" x14ac:dyDescent="0.25">
      <c r="A219" s="55"/>
      <c r="B219" s="64"/>
      <c r="C219" s="55"/>
      <c r="D219" s="55"/>
      <c r="E219" s="55"/>
      <c r="F219" s="55"/>
      <c r="G219" s="56"/>
      <c r="H219" s="55"/>
      <c r="I219" s="64"/>
      <c r="J219" s="55"/>
      <c r="K219" s="75"/>
    </row>
    <row r="220" spans="1:24" s="14" customFormat="1" x14ac:dyDescent="0.25">
      <c r="A220" s="169">
        <v>11</v>
      </c>
      <c r="B220" s="43" t="s">
        <v>61</v>
      </c>
      <c r="C220" s="44" t="s">
        <v>109</v>
      </c>
      <c r="D220" s="45">
        <v>0.3611111111111111</v>
      </c>
      <c r="E220" s="45">
        <v>0.39583333333333331</v>
      </c>
      <c r="F220" s="51">
        <f t="shared" ref="F220:F238" si="45">VALUE(K220)</f>
        <v>50</v>
      </c>
      <c r="G220" s="49">
        <f t="shared" ref="G220:G238" si="46">IF(F220&gt;=300,6,IF(F220&gt;=250,5,IF(F220&gt;=200,4,IF(F220&gt;=150,3,IF(F220&gt;=100,2,IF(F220&gt;=50,1,0))))))</f>
        <v>1</v>
      </c>
      <c r="H220" s="43" t="s">
        <v>35</v>
      </c>
      <c r="I220" s="68" t="s">
        <v>13</v>
      </c>
      <c r="J220" s="46" t="s">
        <v>15</v>
      </c>
      <c r="K220" s="47" t="str">
        <f t="shared" ref="K220:K238" si="47">TEXT(E220-D220,"[mm]")</f>
        <v>50</v>
      </c>
      <c r="M220" s="97"/>
      <c r="N220"/>
      <c r="O220" s="98"/>
      <c r="P220" s="84"/>
      <c r="Q220" s="84"/>
      <c r="R220" s="97"/>
      <c r="S220" s="99"/>
      <c r="T220"/>
      <c r="U220" s="10"/>
      <c r="V220" s="10"/>
      <c r="W220" s="87"/>
      <c r="X220"/>
    </row>
    <row r="221" spans="1:24" s="14" customFormat="1" x14ac:dyDescent="0.25">
      <c r="A221" s="63"/>
      <c r="B221" s="43" t="s">
        <v>61</v>
      </c>
      <c r="C221" s="44" t="s">
        <v>109</v>
      </c>
      <c r="D221" s="45">
        <v>0.43055555555555558</v>
      </c>
      <c r="E221" s="45">
        <v>0.46527777777777773</v>
      </c>
      <c r="F221" s="51">
        <f t="shared" si="45"/>
        <v>50</v>
      </c>
      <c r="G221" s="49">
        <f t="shared" si="46"/>
        <v>1</v>
      </c>
      <c r="H221" s="43" t="s">
        <v>35</v>
      </c>
      <c r="I221" s="46" t="s">
        <v>13</v>
      </c>
      <c r="J221" s="46" t="s">
        <v>16</v>
      </c>
      <c r="K221" s="47" t="str">
        <f t="shared" si="47"/>
        <v>50</v>
      </c>
      <c r="M221" s="97"/>
      <c r="N221"/>
      <c r="O221" s="98"/>
      <c r="P221" s="84"/>
      <c r="Q221" s="84"/>
      <c r="R221" s="97"/>
      <c r="S221" s="99"/>
      <c r="T221"/>
      <c r="U221" s="10"/>
      <c r="V221" s="10"/>
      <c r="W221" s="87"/>
      <c r="X221"/>
    </row>
    <row r="222" spans="1:24" s="14" customFormat="1" x14ac:dyDescent="0.25">
      <c r="A222" s="63"/>
      <c r="B222" s="43" t="s">
        <v>61</v>
      </c>
      <c r="C222" s="67" t="s">
        <v>105</v>
      </c>
      <c r="D222" s="45">
        <v>0.54166666666666663</v>
      </c>
      <c r="E222" s="45">
        <v>0.57638888888888895</v>
      </c>
      <c r="F222" s="51">
        <f t="shared" si="45"/>
        <v>50</v>
      </c>
      <c r="G222" s="49">
        <f t="shared" si="46"/>
        <v>1</v>
      </c>
      <c r="H222" s="43" t="s">
        <v>35</v>
      </c>
      <c r="I222" s="68" t="s">
        <v>13</v>
      </c>
      <c r="J222" s="46" t="s">
        <v>14</v>
      </c>
      <c r="K222" s="47" t="str">
        <f t="shared" si="47"/>
        <v>50</v>
      </c>
      <c r="M222" s="97"/>
      <c r="N222"/>
      <c r="O222" s="98"/>
      <c r="P222" s="84"/>
      <c r="Q222" s="84"/>
      <c r="R222" s="97"/>
      <c r="S222" s="99"/>
      <c r="T222"/>
      <c r="U222" s="10"/>
      <c r="V222" s="10"/>
      <c r="W222" s="87"/>
      <c r="X222"/>
    </row>
    <row r="223" spans="1:24" s="14" customFormat="1" x14ac:dyDescent="0.25">
      <c r="A223" s="63"/>
      <c r="B223" s="43" t="s">
        <v>61</v>
      </c>
      <c r="C223" s="44" t="s">
        <v>105</v>
      </c>
      <c r="D223" s="45">
        <v>0.3611111111111111</v>
      </c>
      <c r="E223" s="45">
        <v>0.39583333333333331</v>
      </c>
      <c r="F223" s="51">
        <f t="shared" si="45"/>
        <v>50</v>
      </c>
      <c r="G223" s="49">
        <f t="shared" si="46"/>
        <v>1</v>
      </c>
      <c r="H223" s="43" t="s">
        <v>35</v>
      </c>
      <c r="I223" s="68" t="s">
        <v>13</v>
      </c>
      <c r="J223" s="46" t="s">
        <v>15</v>
      </c>
      <c r="K223" s="47" t="str">
        <f t="shared" si="47"/>
        <v>50</v>
      </c>
      <c r="M223" s="97"/>
      <c r="N223"/>
      <c r="O223" s="98"/>
      <c r="P223" s="84"/>
      <c r="Q223" s="84"/>
      <c r="R223" s="97"/>
      <c r="S223" s="99"/>
      <c r="T223"/>
      <c r="U223" s="10"/>
      <c r="V223" s="10"/>
      <c r="W223" s="87"/>
      <c r="X223"/>
    </row>
    <row r="224" spans="1:24" s="14" customFormat="1" x14ac:dyDescent="0.25">
      <c r="A224" s="63"/>
      <c r="B224" s="43" t="s">
        <v>61</v>
      </c>
      <c r="C224" s="44" t="s">
        <v>105</v>
      </c>
      <c r="D224" s="45">
        <v>0.43055555555555558</v>
      </c>
      <c r="E224" s="45">
        <v>0.46527777777777773</v>
      </c>
      <c r="F224" s="51">
        <f t="shared" si="45"/>
        <v>50</v>
      </c>
      <c r="G224" s="49">
        <f t="shared" si="46"/>
        <v>1</v>
      </c>
      <c r="H224" s="43" t="s">
        <v>35</v>
      </c>
      <c r="I224" s="46" t="s">
        <v>13</v>
      </c>
      <c r="J224" s="46" t="s">
        <v>16</v>
      </c>
      <c r="K224" s="47" t="str">
        <f t="shared" si="47"/>
        <v>50</v>
      </c>
      <c r="M224" s="97"/>
      <c r="N224"/>
      <c r="O224" s="98"/>
      <c r="P224" s="84"/>
      <c r="Q224" s="84"/>
      <c r="R224" s="97"/>
      <c r="S224" s="99"/>
      <c r="T224"/>
      <c r="U224" s="10"/>
      <c r="V224" s="10"/>
      <c r="W224" s="87"/>
      <c r="X224"/>
    </row>
    <row r="225" spans="1:24" s="14" customFormat="1" x14ac:dyDescent="0.25">
      <c r="A225" s="63"/>
      <c r="B225" s="43" t="s">
        <v>61</v>
      </c>
      <c r="C225" s="67" t="s">
        <v>98</v>
      </c>
      <c r="D225" s="45">
        <v>0.54166666666666663</v>
      </c>
      <c r="E225" s="45">
        <v>0.61111111111111116</v>
      </c>
      <c r="F225" s="51">
        <f t="shared" si="45"/>
        <v>100</v>
      </c>
      <c r="G225" s="49">
        <f t="shared" si="46"/>
        <v>2</v>
      </c>
      <c r="H225" s="43" t="s">
        <v>35</v>
      </c>
      <c r="I225" s="68" t="s">
        <v>31</v>
      </c>
      <c r="J225" s="46" t="s">
        <v>14</v>
      </c>
      <c r="K225" s="47" t="str">
        <f t="shared" si="47"/>
        <v>100</v>
      </c>
      <c r="M225" s="97"/>
      <c r="N225"/>
      <c r="O225" s="98"/>
      <c r="P225" s="84"/>
      <c r="Q225" s="84"/>
      <c r="R225" s="97"/>
      <c r="S225" s="99"/>
      <c r="T225"/>
      <c r="U225" s="10"/>
      <c r="V225" s="10"/>
      <c r="W225" s="87"/>
      <c r="X225"/>
    </row>
    <row r="226" spans="1:24" s="14" customFormat="1" x14ac:dyDescent="0.25">
      <c r="A226" s="63"/>
      <c r="B226" s="43" t="s">
        <v>61</v>
      </c>
      <c r="C226" s="44" t="s">
        <v>98</v>
      </c>
      <c r="D226" s="45">
        <v>0.29166666666666669</v>
      </c>
      <c r="E226" s="45">
        <v>0.3611111111111111</v>
      </c>
      <c r="F226" s="51">
        <f t="shared" si="45"/>
        <v>100</v>
      </c>
      <c r="G226" s="49">
        <f t="shared" si="46"/>
        <v>2</v>
      </c>
      <c r="H226" s="43" t="s">
        <v>35</v>
      </c>
      <c r="I226" s="46" t="s">
        <v>31</v>
      </c>
      <c r="J226" s="46" t="s">
        <v>15</v>
      </c>
      <c r="K226" s="47" t="str">
        <f t="shared" si="47"/>
        <v>100</v>
      </c>
      <c r="M226" s="97"/>
      <c r="N226"/>
      <c r="O226" s="98"/>
      <c r="P226" s="84"/>
      <c r="Q226" s="84"/>
      <c r="R226" s="97"/>
      <c r="S226" s="99"/>
      <c r="T226"/>
      <c r="U226" s="10"/>
      <c r="V226" s="10"/>
      <c r="W226" s="87"/>
      <c r="X226"/>
    </row>
    <row r="227" spans="1:24" s="14" customFormat="1" x14ac:dyDescent="0.25">
      <c r="A227" s="63"/>
      <c r="B227" s="43" t="s">
        <v>61</v>
      </c>
      <c r="C227" s="44" t="s">
        <v>98</v>
      </c>
      <c r="D227" s="45">
        <v>0.61111111111111116</v>
      </c>
      <c r="E227" s="45">
        <v>0.68055555555555558</v>
      </c>
      <c r="F227" s="51">
        <f t="shared" si="45"/>
        <v>100</v>
      </c>
      <c r="G227" s="49">
        <f t="shared" si="46"/>
        <v>2</v>
      </c>
      <c r="H227" s="43" t="s">
        <v>35</v>
      </c>
      <c r="I227" s="46" t="s">
        <v>31</v>
      </c>
      <c r="J227" s="46" t="s">
        <v>16</v>
      </c>
      <c r="K227" s="47" t="str">
        <f t="shared" si="47"/>
        <v>100</v>
      </c>
      <c r="M227" s="97"/>
      <c r="N227"/>
      <c r="O227" s="98"/>
      <c r="P227" s="84"/>
      <c r="Q227" s="84"/>
      <c r="R227" s="97"/>
      <c r="S227" s="99"/>
      <c r="T227"/>
      <c r="U227" s="10"/>
      <c r="V227" s="10"/>
      <c r="W227" s="87"/>
      <c r="X227"/>
    </row>
    <row r="228" spans="1:24" s="14" customFormat="1" x14ac:dyDescent="0.25">
      <c r="A228" s="63"/>
      <c r="B228" s="43" t="s">
        <v>61</v>
      </c>
      <c r="C228" s="44" t="s">
        <v>107</v>
      </c>
      <c r="D228" s="45">
        <v>0.59027777777777779</v>
      </c>
      <c r="E228" s="45">
        <v>0.65972222222222221</v>
      </c>
      <c r="F228" s="51">
        <f t="shared" si="45"/>
        <v>100</v>
      </c>
      <c r="G228" s="49">
        <f t="shared" si="46"/>
        <v>2</v>
      </c>
      <c r="H228" s="43" t="s">
        <v>35</v>
      </c>
      <c r="I228" s="46" t="s">
        <v>13</v>
      </c>
      <c r="J228" s="46" t="s">
        <v>15</v>
      </c>
      <c r="K228" s="47" t="str">
        <f t="shared" si="47"/>
        <v>100</v>
      </c>
      <c r="M228" s="97"/>
      <c r="N228"/>
      <c r="O228" s="98"/>
      <c r="P228" s="84"/>
      <c r="Q228" s="84"/>
      <c r="R228" s="97"/>
      <c r="S228" s="99"/>
      <c r="T228"/>
      <c r="U228" s="10"/>
      <c r="V228" s="10"/>
      <c r="W228" s="87"/>
      <c r="X228"/>
    </row>
    <row r="229" spans="1:24" s="14" customFormat="1" x14ac:dyDescent="0.25">
      <c r="A229" s="63"/>
      <c r="B229" s="43" t="s">
        <v>61</v>
      </c>
      <c r="C229" s="44" t="s">
        <v>107</v>
      </c>
      <c r="D229" s="45">
        <v>0.54166666666666663</v>
      </c>
      <c r="E229" s="45">
        <v>0.61111111111111116</v>
      </c>
      <c r="F229" s="51">
        <f t="shared" si="45"/>
        <v>100</v>
      </c>
      <c r="G229" s="49">
        <f t="shared" si="46"/>
        <v>2</v>
      </c>
      <c r="H229" s="43" t="s">
        <v>35</v>
      </c>
      <c r="I229" s="68" t="s">
        <v>31</v>
      </c>
      <c r="J229" s="46" t="s">
        <v>14</v>
      </c>
      <c r="K229" s="47" t="str">
        <f t="shared" si="47"/>
        <v>100</v>
      </c>
      <c r="M229" s="97"/>
      <c r="N229"/>
      <c r="O229" s="98"/>
      <c r="P229" s="84"/>
      <c r="Q229" s="84"/>
      <c r="R229" s="97"/>
      <c r="S229" s="99"/>
      <c r="T229"/>
      <c r="U229" s="10"/>
      <c r="V229" s="10"/>
      <c r="W229" s="87"/>
      <c r="X229"/>
    </row>
    <row r="230" spans="1:24" s="14" customFormat="1" x14ac:dyDescent="0.25">
      <c r="A230" s="63"/>
      <c r="B230" s="43" t="s">
        <v>61</v>
      </c>
      <c r="C230" s="44" t="s">
        <v>107</v>
      </c>
      <c r="D230" s="45">
        <v>0.29166666666666669</v>
      </c>
      <c r="E230" s="45">
        <v>0.3611111111111111</v>
      </c>
      <c r="F230" s="51">
        <f t="shared" si="45"/>
        <v>100</v>
      </c>
      <c r="G230" s="49">
        <f t="shared" si="46"/>
        <v>2</v>
      </c>
      <c r="H230" s="43" t="s">
        <v>35</v>
      </c>
      <c r="I230" s="46" t="s">
        <v>31</v>
      </c>
      <c r="J230" s="46" t="s">
        <v>15</v>
      </c>
      <c r="K230" s="47" t="str">
        <f t="shared" si="47"/>
        <v>100</v>
      </c>
      <c r="M230" s="97"/>
      <c r="N230"/>
      <c r="O230" s="83"/>
      <c r="P230" s="84"/>
      <c r="Q230" s="84"/>
      <c r="R230" s="97"/>
      <c r="S230" s="99"/>
      <c r="T230"/>
      <c r="U230" s="10"/>
      <c r="V230" s="10"/>
      <c r="W230" s="87"/>
      <c r="X230"/>
    </row>
    <row r="231" spans="1:24" s="14" customFormat="1" x14ac:dyDescent="0.25">
      <c r="A231" s="63"/>
      <c r="B231" s="43" t="s">
        <v>61</v>
      </c>
      <c r="C231" s="44" t="s">
        <v>107</v>
      </c>
      <c r="D231" s="45">
        <v>0.61111111111111116</v>
      </c>
      <c r="E231" s="45">
        <v>0.68055555555555558</v>
      </c>
      <c r="F231" s="51">
        <f t="shared" si="45"/>
        <v>100</v>
      </c>
      <c r="G231" s="49">
        <f t="shared" si="46"/>
        <v>2</v>
      </c>
      <c r="H231" s="43" t="s">
        <v>35</v>
      </c>
      <c r="I231" s="46" t="s">
        <v>31</v>
      </c>
      <c r="J231" s="46" t="s">
        <v>16</v>
      </c>
      <c r="K231" s="47" t="str">
        <f t="shared" si="47"/>
        <v>100</v>
      </c>
      <c r="M231" s="97"/>
      <c r="N231"/>
      <c r="O231" s="83"/>
      <c r="P231" s="84"/>
      <c r="Q231" s="84"/>
      <c r="R231" s="97"/>
      <c r="S231" s="99"/>
      <c r="T231"/>
      <c r="U231" s="10"/>
      <c r="V231" s="10"/>
      <c r="W231" s="87"/>
      <c r="X231"/>
    </row>
    <row r="232" spans="1:24" s="14" customFormat="1" x14ac:dyDescent="0.25">
      <c r="A232" s="63"/>
      <c r="B232" s="43" t="s">
        <v>61</v>
      </c>
      <c r="C232" s="67" t="s">
        <v>95</v>
      </c>
      <c r="D232" s="45">
        <v>0.54166666666666663</v>
      </c>
      <c r="E232" s="45">
        <v>0.61111111111111116</v>
      </c>
      <c r="F232" s="51">
        <f t="shared" si="45"/>
        <v>100</v>
      </c>
      <c r="G232" s="49">
        <f t="shared" si="46"/>
        <v>2</v>
      </c>
      <c r="H232" s="43" t="s">
        <v>35</v>
      </c>
      <c r="I232" s="68" t="s">
        <v>31</v>
      </c>
      <c r="J232" s="46" t="s">
        <v>14</v>
      </c>
      <c r="K232" s="47" t="str">
        <f t="shared" si="47"/>
        <v>100</v>
      </c>
      <c r="M232" s="97"/>
      <c r="N232"/>
      <c r="O232" s="83"/>
      <c r="P232" s="84"/>
      <c r="Q232" s="84"/>
      <c r="R232" s="97"/>
      <c r="S232" s="99"/>
      <c r="T232"/>
      <c r="U232" s="10"/>
      <c r="V232" s="10"/>
      <c r="W232" s="87"/>
      <c r="X232"/>
    </row>
    <row r="233" spans="1:24" s="14" customFormat="1" x14ac:dyDescent="0.25">
      <c r="A233" s="63"/>
      <c r="B233" s="43" t="s">
        <v>61</v>
      </c>
      <c r="C233" s="67" t="s">
        <v>95</v>
      </c>
      <c r="D233" s="45">
        <v>0.29166666666666669</v>
      </c>
      <c r="E233" s="45">
        <v>0.3611111111111111</v>
      </c>
      <c r="F233" s="51">
        <f t="shared" si="45"/>
        <v>100</v>
      </c>
      <c r="G233" s="49">
        <f t="shared" si="46"/>
        <v>2</v>
      </c>
      <c r="H233" s="43" t="s">
        <v>35</v>
      </c>
      <c r="I233" s="46" t="s">
        <v>31</v>
      </c>
      <c r="J233" s="46" t="s">
        <v>15</v>
      </c>
      <c r="K233" s="47" t="str">
        <f t="shared" si="47"/>
        <v>100</v>
      </c>
      <c r="M233" s="97"/>
      <c r="N233"/>
      <c r="O233" s="83"/>
      <c r="P233" s="84"/>
      <c r="Q233" s="84"/>
      <c r="R233" s="97"/>
      <c r="S233" s="99"/>
      <c r="T233"/>
      <c r="U233" s="10"/>
      <c r="V233" s="10"/>
      <c r="W233" s="87"/>
      <c r="X233"/>
    </row>
    <row r="234" spans="1:24" s="14" customFormat="1" x14ac:dyDescent="0.25">
      <c r="A234" s="63"/>
      <c r="B234" s="43" t="s">
        <v>61</v>
      </c>
      <c r="C234" s="67" t="s">
        <v>95</v>
      </c>
      <c r="D234" s="45">
        <v>0.61111111111111116</v>
      </c>
      <c r="E234" s="45">
        <v>0.68055555555555558</v>
      </c>
      <c r="F234" s="51">
        <f t="shared" si="45"/>
        <v>100</v>
      </c>
      <c r="G234" s="49">
        <f t="shared" si="46"/>
        <v>2</v>
      </c>
      <c r="H234" s="43" t="s">
        <v>35</v>
      </c>
      <c r="I234" s="46" t="s">
        <v>31</v>
      </c>
      <c r="J234" s="46" t="s">
        <v>16</v>
      </c>
      <c r="K234" s="47" t="str">
        <f t="shared" si="47"/>
        <v>100</v>
      </c>
      <c r="M234" s="97"/>
      <c r="N234"/>
      <c r="O234" s="83"/>
      <c r="P234" s="84"/>
      <c r="Q234" s="84"/>
      <c r="R234" s="97"/>
      <c r="S234" s="99"/>
      <c r="T234"/>
      <c r="U234" s="10"/>
      <c r="V234" s="10"/>
      <c r="W234" s="87"/>
      <c r="X234"/>
    </row>
    <row r="235" spans="1:24" s="14" customFormat="1" x14ac:dyDescent="0.25">
      <c r="A235" s="63"/>
      <c r="B235" s="43" t="s">
        <v>61</v>
      </c>
      <c r="C235" s="67" t="s">
        <v>95</v>
      </c>
      <c r="D235" s="45">
        <v>0.3611111111111111</v>
      </c>
      <c r="E235" s="45">
        <v>0.39583333333333331</v>
      </c>
      <c r="F235" s="51">
        <f t="shared" si="45"/>
        <v>50</v>
      </c>
      <c r="G235" s="49">
        <f t="shared" si="46"/>
        <v>1</v>
      </c>
      <c r="H235" s="43" t="s">
        <v>35</v>
      </c>
      <c r="I235" s="68" t="s">
        <v>13</v>
      </c>
      <c r="J235" s="46" t="s">
        <v>14</v>
      </c>
      <c r="K235" s="47" t="str">
        <f t="shared" si="47"/>
        <v>50</v>
      </c>
      <c r="M235" s="97"/>
      <c r="N235"/>
      <c r="O235" s="83"/>
      <c r="P235" s="84"/>
      <c r="Q235" s="84"/>
      <c r="R235" s="97"/>
      <c r="S235" s="99"/>
      <c r="T235"/>
      <c r="U235" s="10"/>
      <c r="V235" s="10"/>
      <c r="W235" s="87"/>
      <c r="X235"/>
    </row>
    <row r="236" spans="1:24" s="14" customFormat="1" x14ac:dyDescent="0.25">
      <c r="A236" s="63"/>
      <c r="B236" s="43" t="s">
        <v>61</v>
      </c>
      <c r="C236" s="67" t="s">
        <v>106</v>
      </c>
      <c r="D236" s="45">
        <v>0.3263888888888889</v>
      </c>
      <c r="E236" s="45">
        <v>0.3611111111111111</v>
      </c>
      <c r="F236" s="51">
        <f t="shared" si="45"/>
        <v>50</v>
      </c>
      <c r="G236" s="49">
        <f t="shared" si="46"/>
        <v>1</v>
      </c>
      <c r="H236" s="43" t="s">
        <v>35</v>
      </c>
      <c r="I236" s="68" t="s">
        <v>13</v>
      </c>
      <c r="J236" s="46" t="s">
        <v>14</v>
      </c>
      <c r="K236" s="47" t="str">
        <f t="shared" si="47"/>
        <v>50</v>
      </c>
      <c r="M236" s="97"/>
      <c r="N236"/>
      <c r="O236" s="83"/>
      <c r="P236" s="84"/>
      <c r="Q236" s="84"/>
      <c r="R236" s="97"/>
      <c r="S236" s="99"/>
      <c r="T236"/>
      <c r="U236" s="10"/>
      <c r="V236" s="10"/>
      <c r="W236" s="87"/>
      <c r="X236"/>
    </row>
    <row r="237" spans="1:24" s="14" customFormat="1" x14ac:dyDescent="0.25">
      <c r="A237" s="63"/>
      <c r="B237" s="43" t="s">
        <v>61</v>
      </c>
      <c r="C237" s="44" t="s">
        <v>106</v>
      </c>
      <c r="D237" s="45">
        <v>0.3611111111111111</v>
      </c>
      <c r="E237" s="45">
        <v>0.39583333333333331</v>
      </c>
      <c r="F237" s="51">
        <f t="shared" si="45"/>
        <v>50</v>
      </c>
      <c r="G237" s="49">
        <f t="shared" si="46"/>
        <v>1</v>
      </c>
      <c r="H237" s="43" t="s">
        <v>35</v>
      </c>
      <c r="I237" s="68" t="s">
        <v>13</v>
      </c>
      <c r="J237" s="46" t="s">
        <v>15</v>
      </c>
      <c r="K237" s="47" t="str">
        <f t="shared" si="47"/>
        <v>50</v>
      </c>
      <c r="M237" s="97"/>
      <c r="N237"/>
      <c r="O237" s="83"/>
      <c r="P237" s="84"/>
      <c r="Q237" s="84"/>
      <c r="R237" s="97"/>
      <c r="S237" s="99"/>
      <c r="T237"/>
      <c r="U237" s="10"/>
      <c r="V237" s="10"/>
      <c r="W237" s="87"/>
      <c r="X237"/>
    </row>
    <row r="238" spans="1:24" s="14" customFormat="1" x14ac:dyDescent="0.25">
      <c r="A238" s="63"/>
      <c r="B238" s="43" t="s">
        <v>61</v>
      </c>
      <c r="C238" s="44" t="s">
        <v>106</v>
      </c>
      <c r="D238" s="45">
        <v>0.43055555555555558</v>
      </c>
      <c r="E238" s="45">
        <v>0.46527777777777773</v>
      </c>
      <c r="F238" s="51">
        <f t="shared" si="45"/>
        <v>50</v>
      </c>
      <c r="G238" s="49">
        <f t="shared" si="46"/>
        <v>1</v>
      </c>
      <c r="H238" s="43" t="s">
        <v>35</v>
      </c>
      <c r="I238" s="46" t="s">
        <v>13</v>
      </c>
      <c r="J238" s="46" t="s">
        <v>16</v>
      </c>
      <c r="K238" s="47" t="str">
        <f t="shared" si="47"/>
        <v>50</v>
      </c>
      <c r="M238" s="97"/>
      <c r="N238"/>
      <c r="O238" s="83"/>
      <c r="P238" s="84"/>
      <c r="Q238" s="84"/>
      <c r="R238" s="97"/>
      <c r="S238" s="99"/>
      <c r="T238"/>
      <c r="U238" s="10"/>
      <c r="V238" s="10"/>
      <c r="W238" s="87"/>
      <c r="X238"/>
    </row>
    <row r="239" spans="1:24" x14ac:dyDescent="0.25">
      <c r="A239" s="55"/>
      <c r="B239" s="59"/>
      <c r="C239" s="60"/>
      <c r="D239" s="61"/>
      <c r="E239" s="61"/>
      <c r="F239" s="55"/>
      <c r="G239" s="56"/>
      <c r="H239" s="59"/>
      <c r="I239" s="69"/>
      <c r="J239" s="58"/>
      <c r="K239" s="75"/>
    </row>
    <row r="240" spans="1:24" x14ac:dyDescent="0.25">
      <c r="A240" s="169">
        <v>12</v>
      </c>
      <c r="B240" s="43" t="s">
        <v>62</v>
      </c>
      <c r="C240" s="44" t="s">
        <v>109</v>
      </c>
      <c r="D240" s="45">
        <v>0.61111111111111105</v>
      </c>
      <c r="E240" s="45">
        <v>0.68055555555555547</v>
      </c>
      <c r="F240" s="46">
        <v>100</v>
      </c>
      <c r="G240" s="49">
        <v>2</v>
      </c>
      <c r="H240" s="43" t="s">
        <v>63</v>
      </c>
      <c r="I240" s="46" t="s">
        <v>36</v>
      </c>
      <c r="J240" s="46" t="s">
        <v>14</v>
      </c>
      <c r="K240" s="47" t="s">
        <v>118</v>
      </c>
    </row>
    <row r="241" spans="1:11" x14ac:dyDescent="0.25">
      <c r="A241" s="66"/>
      <c r="B241" s="43" t="s">
        <v>62</v>
      </c>
      <c r="C241" s="44" t="s">
        <v>105</v>
      </c>
      <c r="D241" s="45">
        <v>0.61111111111111105</v>
      </c>
      <c r="E241" s="45">
        <v>0.68055555555555547</v>
      </c>
      <c r="F241" s="46">
        <v>100</v>
      </c>
      <c r="G241" s="49">
        <v>2</v>
      </c>
      <c r="H241" s="43" t="s">
        <v>63</v>
      </c>
      <c r="I241" s="46" t="s">
        <v>36</v>
      </c>
      <c r="J241" s="46" t="s">
        <v>14</v>
      </c>
      <c r="K241" s="47" t="s">
        <v>118</v>
      </c>
    </row>
    <row r="242" spans="1:11" x14ac:dyDescent="0.25">
      <c r="A242" s="66"/>
      <c r="B242" s="43" t="s">
        <v>62</v>
      </c>
      <c r="C242" s="44" t="s">
        <v>109</v>
      </c>
      <c r="D242" s="45">
        <v>0.54166666666666663</v>
      </c>
      <c r="E242" s="45">
        <v>0.61111111111111105</v>
      </c>
      <c r="F242" s="46">
        <v>100</v>
      </c>
      <c r="G242" s="49">
        <v>2</v>
      </c>
      <c r="H242" s="43" t="s">
        <v>63</v>
      </c>
      <c r="I242" s="46" t="s">
        <v>36</v>
      </c>
      <c r="J242" s="46" t="s">
        <v>15</v>
      </c>
      <c r="K242" s="47" t="s">
        <v>118</v>
      </c>
    </row>
    <row r="243" spans="1:11" x14ac:dyDescent="0.25">
      <c r="A243" s="66"/>
      <c r="B243" s="43" t="s">
        <v>62</v>
      </c>
      <c r="C243" s="44" t="s">
        <v>105</v>
      </c>
      <c r="D243" s="45">
        <v>0.54166666666666663</v>
      </c>
      <c r="E243" s="45">
        <v>0.61111111111111105</v>
      </c>
      <c r="F243" s="46">
        <v>100</v>
      </c>
      <c r="G243" s="49">
        <v>2</v>
      </c>
      <c r="H243" s="43" t="s">
        <v>63</v>
      </c>
      <c r="I243" s="46" t="s">
        <v>36</v>
      </c>
      <c r="J243" s="46" t="s">
        <v>15</v>
      </c>
      <c r="K243" s="47" t="s">
        <v>118</v>
      </c>
    </row>
    <row r="244" spans="1:11" x14ac:dyDescent="0.25">
      <c r="A244" s="66"/>
      <c r="B244" s="43" t="s">
        <v>62</v>
      </c>
      <c r="C244" s="44" t="s">
        <v>106</v>
      </c>
      <c r="D244" s="45">
        <v>0.54166666666666663</v>
      </c>
      <c r="E244" s="45">
        <v>0.61111111111111105</v>
      </c>
      <c r="F244" s="46">
        <v>100</v>
      </c>
      <c r="G244" s="49">
        <v>2</v>
      </c>
      <c r="H244" s="43" t="s">
        <v>63</v>
      </c>
      <c r="I244" s="46" t="s">
        <v>36</v>
      </c>
      <c r="J244" s="46" t="s">
        <v>15</v>
      </c>
      <c r="K244" s="47" t="s">
        <v>118</v>
      </c>
    </row>
    <row r="245" spans="1:11" x14ac:dyDescent="0.25">
      <c r="A245" s="66"/>
      <c r="B245" s="43" t="s">
        <v>62</v>
      </c>
      <c r="C245" s="44" t="s">
        <v>99</v>
      </c>
      <c r="D245" s="45">
        <v>0.46527777777777773</v>
      </c>
      <c r="E245" s="45">
        <v>0.5</v>
      </c>
      <c r="F245" s="51">
        <v>50</v>
      </c>
      <c r="G245" s="49">
        <v>1</v>
      </c>
      <c r="H245" s="43" t="s">
        <v>63</v>
      </c>
      <c r="I245" s="46" t="s">
        <v>13</v>
      </c>
      <c r="J245" s="46" t="s">
        <v>16</v>
      </c>
      <c r="K245" s="47" t="s">
        <v>120</v>
      </c>
    </row>
    <row r="246" spans="1:11" x14ac:dyDescent="0.25">
      <c r="A246" s="66"/>
      <c r="B246" s="43" t="s">
        <v>62</v>
      </c>
      <c r="C246" s="44" t="s">
        <v>99</v>
      </c>
      <c r="D246" s="45">
        <v>0.58333333333333304</v>
      </c>
      <c r="E246" s="45">
        <v>0.61805555555555602</v>
      </c>
      <c r="F246" s="51">
        <v>50</v>
      </c>
      <c r="G246" s="49">
        <v>1</v>
      </c>
      <c r="H246" s="43" t="s">
        <v>63</v>
      </c>
      <c r="I246" s="46" t="s">
        <v>13</v>
      </c>
      <c r="J246" s="46" t="s">
        <v>14</v>
      </c>
      <c r="K246" s="47" t="s">
        <v>120</v>
      </c>
    </row>
    <row r="247" spans="1:11" x14ac:dyDescent="0.25">
      <c r="A247" s="66"/>
      <c r="B247" s="43" t="s">
        <v>62</v>
      </c>
      <c r="C247" s="44" t="s">
        <v>108</v>
      </c>
      <c r="D247" s="45">
        <v>0.43055555555555558</v>
      </c>
      <c r="E247" s="45">
        <v>0.5</v>
      </c>
      <c r="F247" s="51">
        <v>100</v>
      </c>
      <c r="G247" s="49">
        <v>2</v>
      </c>
      <c r="H247" s="43" t="s">
        <v>63</v>
      </c>
      <c r="I247" s="46" t="s">
        <v>36</v>
      </c>
      <c r="J247" s="46" t="s">
        <v>16</v>
      </c>
      <c r="K247" s="47" t="s">
        <v>118</v>
      </c>
    </row>
    <row r="248" spans="1:11" x14ac:dyDescent="0.25">
      <c r="A248" s="66"/>
      <c r="B248" s="43" t="s">
        <v>62</v>
      </c>
      <c r="C248" s="44" t="s">
        <v>107</v>
      </c>
      <c r="D248" s="45">
        <v>0.43055555555555558</v>
      </c>
      <c r="E248" s="45">
        <v>0.5</v>
      </c>
      <c r="F248" s="51">
        <v>100</v>
      </c>
      <c r="G248" s="49">
        <v>2</v>
      </c>
      <c r="H248" s="43" t="s">
        <v>63</v>
      </c>
      <c r="I248" s="46" t="s">
        <v>36</v>
      </c>
      <c r="J248" s="46" t="s">
        <v>16</v>
      </c>
      <c r="K248" s="47" t="s">
        <v>118</v>
      </c>
    </row>
    <row r="249" spans="1:11" x14ac:dyDescent="0.25">
      <c r="A249" s="66"/>
      <c r="B249" s="43" t="s">
        <v>62</v>
      </c>
      <c r="C249" s="44" t="s">
        <v>102</v>
      </c>
      <c r="D249" s="45">
        <v>0.43055555555555558</v>
      </c>
      <c r="E249" s="45">
        <v>0.5</v>
      </c>
      <c r="F249" s="51">
        <v>100</v>
      </c>
      <c r="G249" s="49">
        <v>2</v>
      </c>
      <c r="H249" s="43" t="s">
        <v>63</v>
      </c>
      <c r="I249" s="46" t="s">
        <v>36</v>
      </c>
      <c r="J249" s="46" t="s">
        <v>16</v>
      </c>
      <c r="K249" s="47" t="s">
        <v>118</v>
      </c>
    </row>
    <row r="250" spans="1:11" x14ac:dyDescent="0.25">
      <c r="A250" s="66"/>
      <c r="B250" s="43" t="s">
        <v>62</v>
      </c>
      <c r="C250" s="44" t="s">
        <v>102</v>
      </c>
      <c r="D250" s="45">
        <v>0.54166666666666663</v>
      </c>
      <c r="E250" s="45">
        <v>0.57638888888888895</v>
      </c>
      <c r="F250" s="51">
        <v>50</v>
      </c>
      <c r="G250" s="49">
        <v>1</v>
      </c>
      <c r="H250" s="43" t="s">
        <v>63</v>
      </c>
      <c r="I250" s="46" t="s">
        <v>13</v>
      </c>
      <c r="J250" s="46" t="s">
        <v>15</v>
      </c>
      <c r="K250" s="47" t="s">
        <v>120</v>
      </c>
    </row>
    <row r="251" spans="1:11" x14ac:dyDescent="0.25">
      <c r="A251" s="66"/>
      <c r="B251" s="43" t="s">
        <v>62</v>
      </c>
      <c r="C251" s="44" t="s">
        <v>100</v>
      </c>
      <c r="D251" s="45">
        <v>0.43055555555555558</v>
      </c>
      <c r="E251" s="45">
        <v>0.5</v>
      </c>
      <c r="F251" s="51">
        <v>100</v>
      </c>
      <c r="G251" s="49">
        <v>2</v>
      </c>
      <c r="H251" s="43" t="s">
        <v>85</v>
      </c>
      <c r="I251" s="46" t="s">
        <v>13</v>
      </c>
      <c r="J251" s="46" t="s">
        <v>40</v>
      </c>
      <c r="K251" s="47" t="s">
        <v>118</v>
      </c>
    </row>
    <row r="252" spans="1:11" x14ac:dyDescent="0.25">
      <c r="A252" s="66"/>
      <c r="B252" s="43" t="s">
        <v>62</v>
      </c>
      <c r="C252" s="44" t="s">
        <v>119</v>
      </c>
      <c r="D252" s="45">
        <v>0.43055555555555558</v>
      </c>
      <c r="E252" s="45">
        <v>0.5</v>
      </c>
      <c r="F252" s="51">
        <v>100</v>
      </c>
      <c r="G252" s="49">
        <v>2</v>
      </c>
      <c r="H252" s="43" t="s">
        <v>85</v>
      </c>
      <c r="I252" s="46" t="s">
        <v>13</v>
      </c>
      <c r="J252" s="46" t="s">
        <v>40</v>
      </c>
      <c r="K252" s="47" t="s">
        <v>118</v>
      </c>
    </row>
    <row r="253" spans="1:11" s="14" customFormat="1" x14ac:dyDescent="0.25">
      <c r="A253" s="55"/>
      <c r="B253" s="64"/>
      <c r="C253" s="55"/>
      <c r="D253" s="55"/>
      <c r="E253" s="55"/>
      <c r="F253" s="55"/>
      <c r="G253" s="56"/>
      <c r="H253" s="55"/>
      <c r="I253" s="64"/>
      <c r="J253" s="55"/>
      <c r="K253" s="75"/>
    </row>
    <row r="254" spans="1:11" x14ac:dyDescent="0.25">
      <c r="A254" s="66">
        <v>13</v>
      </c>
      <c r="B254" s="142" t="s">
        <v>159</v>
      </c>
      <c r="C254" s="143" t="s">
        <v>138</v>
      </c>
      <c r="D254" s="144" t="s">
        <v>139</v>
      </c>
      <c r="E254" s="144" t="s">
        <v>140</v>
      </c>
      <c r="F254" s="143">
        <v>100</v>
      </c>
      <c r="G254" s="143">
        <v>2</v>
      </c>
      <c r="H254" s="145" t="s">
        <v>141</v>
      </c>
      <c r="I254" s="143" t="s">
        <v>31</v>
      </c>
      <c r="J254" s="143" t="s">
        <v>16</v>
      </c>
      <c r="K254" s="143">
        <v>100</v>
      </c>
    </row>
    <row r="255" spans="1:11" x14ac:dyDescent="0.25">
      <c r="A255" s="66"/>
      <c r="B255" s="142" t="s">
        <v>159</v>
      </c>
      <c r="C255" s="143" t="s">
        <v>138</v>
      </c>
      <c r="D255" s="144" t="s">
        <v>140</v>
      </c>
      <c r="E255" s="144" t="s">
        <v>142</v>
      </c>
      <c r="F255" s="143">
        <v>100</v>
      </c>
      <c r="G255" s="143">
        <v>2</v>
      </c>
      <c r="H255" s="145" t="s">
        <v>141</v>
      </c>
      <c r="I255" s="143" t="s">
        <v>31</v>
      </c>
      <c r="J255" s="143" t="s">
        <v>14</v>
      </c>
      <c r="K255" s="143">
        <v>100</v>
      </c>
    </row>
    <row r="256" spans="1:11" x14ac:dyDescent="0.25">
      <c r="A256" s="66"/>
      <c r="B256" s="142" t="s">
        <v>159</v>
      </c>
      <c r="C256" s="143" t="s">
        <v>135</v>
      </c>
      <c r="D256" s="144" t="s">
        <v>142</v>
      </c>
      <c r="E256" s="144" t="s">
        <v>143</v>
      </c>
      <c r="F256" s="143">
        <v>100</v>
      </c>
      <c r="G256" s="143">
        <v>2</v>
      </c>
      <c r="H256" s="145" t="s">
        <v>63</v>
      </c>
      <c r="I256" s="143" t="s">
        <v>31</v>
      </c>
      <c r="J256" s="143" t="s">
        <v>16</v>
      </c>
      <c r="K256" s="143">
        <v>100</v>
      </c>
    </row>
    <row r="257" spans="1:11" x14ac:dyDescent="0.25">
      <c r="A257" s="66"/>
      <c r="B257" s="142" t="s">
        <v>159</v>
      </c>
      <c r="C257" s="143" t="s">
        <v>135</v>
      </c>
      <c r="D257" s="144" t="s">
        <v>144</v>
      </c>
      <c r="E257" s="144" t="s">
        <v>145</v>
      </c>
      <c r="F257" s="143">
        <v>100</v>
      </c>
      <c r="G257" s="143">
        <v>2</v>
      </c>
      <c r="H257" s="145" t="s">
        <v>30</v>
      </c>
      <c r="I257" s="143" t="s">
        <v>31</v>
      </c>
      <c r="J257" s="143" t="s">
        <v>15</v>
      </c>
      <c r="K257" s="143">
        <v>100</v>
      </c>
    </row>
    <row r="258" spans="1:11" x14ac:dyDescent="0.25">
      <c r="A258" s="66"/>
      <c r="B258" s="142" t="s">
        <v>159</v>
      </c>
      <c r="C258" s="143" t="s">
        <v>135</v>
      </c>
      <c r="D258" s="144" t="s">
        <v>145</v>
      </c>
      <c r="E258" s="144" t="s">
        <v>146</v>
      </c>
      <c r="F258" s="143">
        <v>100</v>
      </c>
      <c r="G258" s="143">
        <v>2</v>
      </c>
      <c r="H258" s="145" t="s">
        <v>30</v>
      </c>
      <c r="I258" s="143" t="s">
        <v>31</v>
      </c>
      <c r="J258" s="143" t="s">
        <v>16</v>
      </c>
      <c r="K258" s="143">
        <v>100</v>
      </c>
    </row>
    <row r="259" spans="1:11" x14ac:dyDescent="0.25">
      <c r="A259" s="66"/>
      <c r="B259" s="142" t="s">
        <v>159</v>
      </c>
      <c r="C259" s="143" t="s">
        <v>124</v>
      </c>
      <c r="D259" s="144" t="s">
        <v>139</v>
      </c>
      <c r="E259" s="144" t="s">
        <v>140</v>
      </c>
      <c r="F259" s="143">
        <v>100</v>
      </c>
      <c r="G259" s="143">
        <v>2</v>
      </c>
      <c r="H259" s="145" t="s">
        <v>141</v>
      </c>
      <c r="I259" s="143" t="s">
        <v>31</v>
      </c>
      <c r="J259" s="143" t="s">
        <v>15</v>
      </c>
      <c r="K259" s="143">
        <v>100</v>
      </c>
    </row>
    <row r="260" spans="1:11" x14ac:dyDescent="0.25">
      <c r="A260" s="66"/>
      <c r="B260" s="142" t="s">
        <v>159</v>
      </c>
      <c r="C260" s="143" t="s">
        <v>124</v>
      </c>
      <c r="D260" s="144" t="s">
        <v>140</v>
      </c>
      <c r="E260" s="144" t="s">
        <v>147</v>
      </c>
      <c r="F260" s="143">
        <v>50</v>
      </c>
      <c r="G260" s="143">
        <v>1</v>
      </c>
      <c r="H260" s="145" t="s">
        <v>63</v>
      </c>
      <c r="I260" s="143" t="s">
        <v>13</v>
      </c>
      <c r="J260" s="143" t="s">
        <v>21</v>
      </c>
      <c r="K260" s="143">
        <v>50</v>
      </c>
    </row>
    <row r="261" spans="1:11" x14ac:dyDescent="0.25">
      <c r="A261" s="66"/>
      <c r="B261" s="142" t="s">
        <v>159</v>
      </c>
      <c r="C261" s="143" t="s">
        <v>124</v>
      </c>
      <c r="D261" s="144" t="s">
        <v>147</v>
      </c>
      <c r="E261" s="144" t="s">
        <v>142</v>
      </c>
      <c r="F261" s="143">
        <v>50</v>
      </c>
      <c r="G261" s="143">
        <v>1</v>
      </c>
      <c r="H261" s="145" t="s">
        <v>63</v>
      </c>
      <c r="I261" s="143" t="s">
        <v>13</v>
      </c>
      <c r="J261" s="143" t="s">
        <v>21</v>
      </c>
      <c r="K261" s="143">
        <v>50</v>
      </c>
    </row>
    <row r="262" spans="1:11" x14ac:dyDescent="0.25">
      <c r="A262" s="66"/>
      <c r="B262" s="142" t="s">
        <v>159</v>
      </c>
      <c r="C262" s="143" t="s">
        <v>124</v>
      </c>
      <c r="D262" s="144" t="s">
        <v>144</v>
      </c>
      <c r="E262" s="144" t="s">
        <v>145</v>
      </c>
      <c r="F262" s="143">
        <v>100</v>
      </c>
      <c r="G262" s="143">
        <v>2</v>
      </c>
      <c r="H262" s="145" t="s">
        <v>30</v>
      </c>
      <c r="I262" s="143" t="s">
        <v>31</v>
      </c>
      <c r="J262" s="143" t="s">
        <v>14</v>
      </c>
      <c r="K262" s="143">
        <v>100</v>
      </c>
    </row>
    <row r="263" spans="1:11" x14ac:dyDescent="0.25">
      <c r="A263" s="66"/>
      <c r="B263" s="142" t="s">
        <v>159</v>
      </c>
      <c r="C263" s="143" t="s">
        <v>124</v>
      </c>
      <c r="D263" s="144" t="s">
        <v>145</v>
      </c>
      <c r="E263" s="144" t="s">
        <v>146</v>
      </c>
      <c r="F263" s="143">
        <v>100</v>
      </c>
      <c r="G263" s="143">
        <v>2</v>
      </c>
      <c r="H263" s="145" t="s">
        <v>148</v>
      </c>
      <c r="I263" s="143" t="s">
        <v>31</v>
      </c>
      <c r="J263" s="143" t="s">
        <v>21</v>
      </c>
      <c r="K263" s="143">
        <v>100</v>
      </c>
    </row>
    <row r="264" spans="1:11" x14ac:dyDescent="0.25">
      <c r="A264" s="66"/>
      <c r="B264" s="142" t="s">
        <v>159</v>
      </c>
      <c r="C264" s="143" t="s">
        <v>149</v>
      </c>
      <c r="D264" s="144" t="s">
        <v>139</v>
      </c>
      <c r="E264" s="144" t="s">
        <v>140</v>
      </c>
      <c r="F264" s="143">
        <v>100</v>
      </c>
      <c r="G264" s="143">
        <v>2</v>
      </c>
      <c r="H264" s="145" t="s">
        <v>141</v>
      </c>
      <c r="I264" s="143" t="s">
        <v>31</v>
      </c>
      <c r="J264" s="143" t="s">
        <v>16</v>
      </c>
      <c r="K264" s="143">
        <v>100</v>
      </c>
    </row>
    <row r="265" spans="1:11" x14ac:dyDescent="0.25">
      <c r="A265" s="66"/>
      <c r="B265" s="142" t="s">
        <v>159</v>
      </c>
      <c r="C265" s="143" t="s">
        <v>149</v>
      </c>
      <c r="D265" s="144" t="s">
        <v>140</v>
      </c>
      <c r="E265" s="144" t="s">
        <v>142</v>
      </c>
      <c r="F265" s="143">
        <v>100</v>
      </c>
      <c r="G265" s="143">
        <v>2</v>
      </c>
      <c r="H265" s="145" t="s">
        <v>141</v>
      </c>
      <c r="I265" s="143" t="s">
        <v>31</v>
      </c>
      <c r="J265" s="143" t="s">
        <v>15</v>
      </c>
      <c r="K265" s="143">
        <v>100</v>
      </c>
    </row>
    <row r="266" spans="1:11" x14ac:dyDescent="0.25">
      <c r="A266" s="66"/>
      <c r="B266" s="142" t="s">
        <v>159</v>
      </c>
      <c r="C266" s="143" t="s">
        <v>149</v>
      </c>
      <c r="D266" s="144" t="s">
        <v>142</v>
      </c>
      <c r="E266" s="144" t="s">
        <v>143</v>
      </c>
      <c r="F266" s="143">
        <v>100</v>
      </c>
      <c r="G266" s="143">
        <v>2</v>
      </c>
      <c r="H266" s="145" t="s">
        <v>141</v>
      </c>
      <c r="I266" s="143" t="s">
        <v>31</v>
      </c>
      <c r="J266" s="143" t="s">
        <v>14</v>
      </c>
      <c r="K266" s="143">
        <v>100</v>
      </c>
    </row>
    <row r="267" spans="1:11" x14ac:dyDescent="0.25">
      <c r="A267" s="66"/>
      <c r="B267" s="142" t="s">
        <v>159</v>
      </c>
      <c r="C267" s="143" t="s">
        <v>149</v>
      </c>
      <c r="D267" s="144" t="s">
        <v>144</v>
      </c>
      <c r="E267" s="144" t="s">
        <v>145</v>
      </c>
      <c r="F267" s="143">
        <v>100</v>
      </c>
      <c r="G267" s="143">
        <v>2</v>
      </c>
      <c r="H267" s="145" t="s">
        <v>63</v>
      </c>
      <c r="I267" s="143" t="s">
        <v>31</v>
      </c>
      <c r="J267" s="143" t="s">
        <v>15</v>
      </c>
      <c r="K267" s="143">
        <v>100</v>
      </c>
    </row>
    <row r="268" spans="1:11" x14ac:dyDescent="0.25">
      <c r="A268" s="66"/>
      <c r="B268" s="142" t="s">
        <v>159</v>
      </c>
      <c r="C268" s="143" t="s">
        <v>149</v>
      </c>
      <c r="D268" s="144" t="s">
        <v>145</v>
      </c>
      <c r="E268" s="144" t="s">
        <v>146</v>
      </c>
      <c r="F268" s="143">
        <v>100</v>
      </c>
      <c r="G268" s="143">
        <v>2</v>
      </c>
      <c r="H268" s="145" t="s">
        <v>63</v>
      </c>
      <c r="I268" s="143" t="s">
        <v>31</v>
      </c>
      <c r="J268" s="143" t="s">
        <v>14</v>
      </c>
      <c r="K268" s="143">
        <v>100</v>
      </c>
    </row>
    <row r="269" spans="1:11" x14ac:dyDescent="0.25">
      <c r="A269" s="66"/>
      <c r="B269" s="142" t="s">
        <v>159</v>
      </c>
      <c r="C269" s="143" t="s">
        <v>150</v>
      </c>
      <c r="D269" s="144" t="s">
        <v>139</v>
      </c>
      <c r="E269" s="144" t="s">
        <v>140</v>
      </c>
      <c r="F269" s="143">
        <v>100</v>
      </c>
      <c r="G269" s="143">
        <v>2</v>
      </c>
      <c r="H269" s="145" t="s">
        <v>141</v>
      </c>
      <c r="I269" s="143" t="s">
        <v>31</v>
      </c>
      <c r="J269" s="143" t="s">
        <v>16</v>
      </c>
      <c r="K269" s="143">
        <v>100</v>
      </c>
    </row>
    <row r="270" spans="1:11" x14ac:dyDescent="0.25">
      <c r="A270" s="66"/>
      <c r="B270" s="142" t="s">
        <v>159</v>
      </c>
      <c r="C270" s="143" t="s">
        <v>136</v>
      </c>
      <c r="D270" s="144" t="s">
        <v>142</v>
      </c>
      <c r="E270" s="144" t="s">
        <v>143</v>
      </c>
      <c r="F270" s="143">
        <v>100</v>
      </c>
      <c r="G270" s="143">
        <v>2</v>
      </c>
      <c r="H270" s="145" t="s">
        <v>63</v>
      </c>
      <c r="I270" s="143" t="s">
        <v>31</v>
      </c>
      <c r="J270" s="143" t="s">
        <v>16</v>
      </c>
      <c r="K270" s="143">
        <v>100</v>
      </c>
    </row>
    <row r="271" spans="1:11" x14ac:dyDescent="0.25">
      <c r="A271" s="66"/>
      <c r="B271" s="142" t="s">
        <v>159</v>
      </c>
      <c r="C271" s="143" t="s">
        <v>136</v>
      </c>
      <c r="D271" s="144" t="s">
        <v>144</v>
      </c>
      <c r="E271" s="144" t="s">
        <v>145</v>
      </c>
      <c r="F271" s="143">
        <v>100</v>
      </c>
      <c r="G271" s="143">
        <v>2</v>
      </c>
      <c r="H271" s="145" t="s">
        <v>30</v>
      </c>
      <c r="I271" s="143" t="s">
        <v>31</v>
      </c>
      <c r="J271" s="143" t="s">
        <v>15</v>
      </c>
      <c r="K271" s="143">
        <v>100</v>
      </c>
    </row>
    <row r="272" spans="1:11" x14ac:dyDescent="0.25">
      <c r="A272" s="66"/>
      <c r="B272" s="142" t="s">
        <v>159</v>
      </c>
      <c r="C272" s="143" t="s">
        <v>136</v>
      </c>
      <c r="D272" s="144" t="s">
        <v>145</v>
      </c>
      <c r="E272" s="144" t="s">
        <v>146</v>
      </c>
      <c r="F272" s="143">
        <v>100</v>
      </c>
      <c r="G272" s="143">
        <v>2</v>
      </c>
      <c r="H272" s="145" t="s">
        <v>30</v>
      </c>
      <c r="I272" s="143" t="s">
        <v>31</v>
      </c>
      <c r="J272" s="143" t="s">
        <v>16</v>
      </c>
      <c r="K272" s="143">
        <v>100</v>
      </c>
    </row>
    <row r="273" spans="1:11" x14ac:dyDescent="0.25">
      <c r="A273" s="66"/>
      <c r="B273" s="142" t="s">
        <v>159</v>
      </c>
      <c r="C273" s="143" t="s">
        <v>137</v>
      </c>
      <c r="D273" s="144" t="s">
        <v>139</v>
      </c>
      <c r="E273" s="144" t="s">
        <v>140</v>
      </c>
      <c r="F273" s="143">
        <v>100</v>
      </c>
      <c r="G273" s="143">
        <v>2</v>
      </c>
      <c r="H273" s="145" t="s">
        <v>148</v>
      </c>
      <c r="I273" s="143" t="s">
        <v>31</v>
      </c>
      <c r="J273" s="143" t="s">
        <v>22</v>
      </c>
      <c r="K273" s="143">
        <v>100</v>
      </c>
    </row>
    <row r="274" spans="1:11" x14ac:dyDescent="0.25">
      <c r="A274" s="66"/>
      <c r="B274" s="142" t="s">
        <v>159</v>
      </c>
      <c r="C274" s="143" t="s">
        <v>137</v>
      </c>
      <c r="D274" s="144" t="s">
        <v>140</v>
      </c>
      <c r="E274" s="144" t="s">
        <v>142</v>
      </c>
      <c r="F274" s="143">
        <v>100</v>
      </c>
      <c r="G274" s="143">
        <v>2</v>
      </c>
      <c r="H274" s="145" t="s">
        <v>148</v>
      </c>
      <c r="I274" s="143" t="s">
        <v>31</v>
      </c>
      <c r="J274" s="143" t="s">
        <v>23</v>
      </c>
      <c r="K274" s="143">
        <v>100</v>
      </c>
    </row>
    <row r="275" spans="1:11" x14ac:dyDescent="0.25">
      <c r="A275" s="66"/>
      <c r="B275" s="142" t="s">
        <v>159</v>
      </c>
      <c r="C275" s="143" t="s">
        <v>137</v>
      </c>
      <c r="D275" s="144" t="s">
        <v>142</v>
      </c>
      <c r="E275" s="144" t="s">
        <v>143</v>
      </c>
      <c r="F275" s="143">
        <v>100</v>
      </c>
      <c r="G275" s="143">
        <v>2</v>
      </c>
      <c r="H275" s="145" t="s">
        <v>30</v>
      </c>
      <c r="I275" s="143" t="s">
        <v>31</v>
      </c>
      <c r="J275" s="143" t="s">
        <v>14</v>
      </c>
      <c r="K275" s="143">
        <v>100</v>
      </c>
    </row>
    <row r="276" spans="1:11" x14ac:dyDescent="0.25">
      <c r="A276" s="66"/>
      <c r="B276" s="142" t="s">
        <v>159</v>
      </c>
      <c r="C276" s="143" t="s">
        <v>137</v>
      </c>
      <c r="D276" s="144" t="s">
        <v>144</v>
      </c>
      <c r="E276" s="144" t="s">
        <v>151</v>
      </c>
      <c r="F276" s="143">
        <v>50</v>
      </c>
      <c r="G276" s="143">
        <v>1</v>
      </c>
      <c r="H276" s="145" t="s">
        <v>148</v>
      </c>
      <c r="I276" s="143" t="s">
        <v>13</v>
      </c>
      <c r="J276" s="143" t="s">
        <v>22</v>
      </c>
      <c r="K276" s="143">
        <v>50</v>
      </c>
    </row>
    <row r="277" spans="1:11" x14ac:dyDescent="0.25">
      <c r="A277" s="66"/>
      <c r="B277" s="142" t="s">
        <v>159</v>
      </c>
      <c r="C277" s="143" t="s">
        <v>137</v>
      </c>
      <c r="D277" s="144" t="s">
        <v>145</v>
      </c>
      <c r="E277" s="144" t="s">
        <v>152</v>
      </c>
      <c r="F277" s="143">
        <v>50</v>
      </c>
      <c r="G277" s="143">
        <v>1</v>
      </c>
      <c r="H277" s="145" t="s">
        <v>148</v>
      </c>
      <c r="I277" s="143" t="s">
        <v>13</v>
      </c>
      <c r="J277" s="143" t="s">
        <v>23</v>
      </c>
      <c r="K277" s="143">
        <v>50</v>
      </c>
    </row>
    <row r="278" spans="1:11" x14ac:dyDescent="0.25">
      <c r="A278" s="66"/>
      <c r="B278" s="142" t="s">
        <v>159</v>
      </c>
      <c r="C278" s="143" t="s">
        <v>137</v>
      </c>
      <c r="D278" s="144" t="s">
        <v>146</v>
      </c>
      <c r="E278" s="144" t="s">
        <v>153</v>
      </c>
      <c r="F278" s="143">
        <v>50</v>
      </c>
      <c r="G278" s="143">
        <v>1</v>
      </c>
      <c r="H278" s="145" t="s">
        <v>148</v>
      </c>
      <c r="I278" s="143" t="s">
        <v>13</v>
      </c>
      <c r="J278" s="143" t="s">
        <v>21</v>
      </c>
      <c r="K278" s="143">
        <v>50</v>
      </c>
    </row>
    <row r="279" spans="1:11" x14ac:dyDescent="0.25">
      <c r="A279" s="66"/>
      <c r="B279" s="142" t="s">
        <v>159</v>
      </c>
      <c r="C279" s="143" t="s">
        <v>122</v>
      </c>
      <c r="D279" s="144" t="s">
        <v>140</v>
      </c>
      <c r="E279" s="144" t="s">
        <v>142</v>
      </c>
      <c r="F279" s="143">
        <v>100</v>
      </c>
      <c r="G279" s="143">
        <v>2</v>
      </c>
      <c r="H279" s="145" t="s">
        <v>141</v>
      </c>
      <c r="I279" s="143" t="s">
        <v>31</v>
      </c>
      <c r="J279" s="143" t="s">
        <v>15</v>
      </c>
      <c r="K279" s="143">
        <v>100</v>
      </c>
    </row>
    <row r="280" spans="1:11" x14ac:dyDescent="0.25">
      <c r="A280" s="66"/>
      <c r="B280" s="142" t="s">
        <v>159</v>
      </c>
      <c r="C280" s="143" t="s">
        <v>122</v>
      </c>
      <c r="D280" s="144" t="s">
        <v>144</v>
      </c>
      <c r="E280" s="144" t="s">
        <v>145</v>
      </c>
      <c r="F280" s="143">
        <v>100</v>
      </c>
      <c r="G280" s="143">
        <v>2</v>
      </c>
      <c r="H280" s="145" t="s">
        <v>148</v>
      </c>
      <c r="I280" s="143" t="s">
        <v>31</v>
      </c>
      <c r="J280" s="143" t="s">
        <v>23</v>
      </c>
      <c r="K280" s="143">
        <v>100</v>
      </c>
    </row>
    <row r="281" spans="1:11" x14ac:dyDescent="0.25">
      <c r="A281" s="66"/>
      <c r="B281" s="142" t="s">
        <v>159</v>
      </c>
      <c r="C281" s="143" t="s">
        <v>122</v>
      </c>
      <c r="D281" s="144" t="s">
        <v>145</v>
      </c>
      <c r="E281" s="144" t="s">
        <v>146</v>
      </c>
      <c r="F281" s="143">
        <v>100</v>
      </c>
      <c r="G281" s="143">
        <v>2</v>
      </c>
      <c r="H281" s="145" t="s">
        <v>148</v>
      </c>
      <c r="I281" s="143" t="s">
        <v>31</v>
      </c>
      <c r="J281" s="143" t="s">
        <v>21</v>
      </c>
      <c r="K281" s="143">
        <v>100</v>
      </c>
    </row>
    <row r="282" spans="1:11" x14ac:dyDescent="0.25">
      <c r="A282" s="66"/>
      <c r="B282" s="142" t="s">
        <v>159</v>
      </c>
      <c r="C282" s="143" t="s">
        <v>121</v>
      </c>
      <c r="D282" s="144" t="s">
        <v>139</v>
      </c>
      <c r="E282" s="144" t="s">
        <v>140</v>
      </c>
      <c r="F282" s="143">
        <v>100</v>
      </c>
      <c r="G282" s="143">
        <v>2</v>
      </c>
      <c r="H282" s="145" t="s">
        <v>30</v>
      </c>
      <c r="I282" s="143" t="s">
        <v>31</v>
      </c>
      <c r="J282" s="143" t="s">
        <v>15</v>
      </c>
      <c r="K282" s="143">
        <v>100</v>
      </c>
    </row>
    <row r="283" spans="1:11" x14ac:dyDescent="0.25">
      <c r="A283" s="66"/>
      <c r="B283" s="142" t="s">
        <v>159</v>
      </c>
      <c r="C283" s="143" t="s">
        <v>121</v>
      </c>
      <c r="D283" s="144" t="s">
        <v>140</v>
      </c>
      <c r="E283" s="144" t="s">
        <v>142</v>
      </c>
      <c r="F283" s="143">
        <v>100</v>
      </c>
      <c r="G283" s="143">
        <v>2</v>
      </c>
      <c r="H283" s="145" t="s">
        <v>30</v>
      </c>
      <c r="I283" s="143" t="s">
        <v>31</v>
      </c>
      <c r="J283" s="143" t="s">
        <v>16</v>
      </c>
      <c r="K283" s="143">
        <v>100</v>
      </c>
    </row>
    <row r="284" spans="1:11" x14ac:dyDescent="0.25">
      <c r="A284" s="66"/>
      <c r="B284" s="142" t="s">
        <v>159</v>
      </c>
      <c r="C284" s="143" t="s">
        <v>121</v>
      </c>
      <c r="D284" s="144" t="s">
        <v>142</v>
      </c>
      <c r="E284" s="144" t="s">
        <v>143</v>
      </c>
      <c r="F284" s="143">
        <v>100</v>
      </c>
      <c r="G284" s="143">
        <v>2</v>
      </c>
      <c r="H284" s="145" t="s">
        <v>30</v>
      </c>
      <c r="I284" s="143" t="s">
        <v>31</v>
      </c>
      <c r="J284" s="143" t="s">
        <v>14</v>
      </c>
      <c r="K284" s="143">
        <v>100</v>
      </c>
    </row>
    <row r="285" spans="1:11" x14ac:dyDescent="0.25">
      <c r="A285" s="66"/>
      <c r="B285" s="142" t="s">
        <v>159</v>
      </c>
      <c r="C285" s="143" t="s">
        <v>121</v>
      </c>
      <c r="D285" s="146" t="s">
        <v>143</v>
      </c>
      <c r="E285" s="146" t="s">
        <v>154</v>
      </c>
      <c r="F285" s="143">
        <v>120</v>
      </c>
      <c r="G285" s="147">
        <f>IF(F285&gt;=300,6,IF(F285&gt;=250,5,IF(F285&gt;=200,4,IF(F285&gt;=150,3,IF(F285&gt;=100,2,IF(F285&gt;=50,1,0))))))</f>
        <v>2</v>
      </c>
      <c r="H285" s="148" t="s">
        <v>85</v>
      </c>
      <c r="I285" s="144" t="s">
        <v>13</v>
      </c>
      <c r="J285" s="144" t="s">
        <v>38</v>
      </c>
      <c r="K285" s="143">
        <v>120</v>
      </c>
    </row>
    <row r="286" spans="1:11" x14ac:dyDescent="0.25">
      <c r="A286" s="66"/>
      <c r="B286" s="142" t="s">
        <v>159</v>
      </c>
      <c r="C286" s="143" t="s">
        <v>121</v>
      </c>
      <c r="D286" s="146" t="s">
        <v>154</v>
      </c>
      <c r="E286" s="146" t="s">
        <v>155</v>
      </c>
      <c r="F286" s="143">
        <v>120</v>
      </c>
      <c r="G286" s="147">
        <f>IF(F286&gt;=300,6,IF(F286&gt;=250,5,IF(F286&gt;=200,4,IF(F286&gt;=150,3,IF(F286&gt;=100,2,IF(F286&gt;=50,1,0))))))</f>
        <v>2</v>
      </c>
      <c r="H286" s="148" t="s">
        <v>85</v>
      </c>
      <c r="I286" s="144" t="s">
        <v>13</v>
      </c>
      <c r="J286" s="144" t="s">
        <v>39</v>
      </c>
      <c r="K286" s="143">
        <v>120</v>
      </c>
    </row>
    <row r="287" spans="1:11" x14ac:dyDescent="0.25">
      <c r="A287" s="66"/>
      <c r="B287" s="142" t="s">
        <v>159</v>
      </c>
      <c r="C287" s="143" t="s">
        <v>121</v>
      </c>
      <c r="D287" s="146" t="s">
        <v>155</v>
      </c>
      <c r="E287" s="146" t="s">
        <v>156</v>
      </c>
      <c r="F287" s="143">
        <v>120</v>
      </c>
      <c r="G287" s="147">
        <f>IF(F287&gt;=300,6,IF(F287&gt;=250,5,IF(F287&gt;=200,4,IF(F287&gt;=150,3,IF(F287&gt;=100,2,IF(F287&gt;=50,1,0))))))</f>
        <v>2</v>
      </c>
      <c r="H287" s="148" t="s">
        <v>85</v>
      </c>
      <c r="I287" s="144" t="s">
        <v>13</v>
      </c>
      <c r="J287" s="144" t="s">
        <v>40</v>
      </c>
      <c r="K287" s="143">
        <v>120</v>
      </c>
    </row>
    <row r="288" spans="1:11" x14ac:dyDescent="0.25">
      <c r="A288" s="66"/>
      <c r="B288" s="142" t="s">
        <v>159</v>
      </c>
      <c r="C288" s="143" t="s">
        <v>157</v>
      </c>
      <c r="D288" s="144" t="s">
        <v>140</v>
      </c>
      <c r="E288" s="144" t="s">
        <v>142</v>
      </c>
      <c r="F288" s="143">
        <v>100</v>
      </c>
      <c r="G288" s="143">
        <v>2</v>
      </c>
      <c r="H288" s="145" t="s">
        <v>141</v>
      </c>
      <c r="I288" s="143" t="s">
        <v>31</v>
      </c>
      <c r="J288" s="143" t="s">
        <v>14</v>
      </c>
      <c r="K288" s="143">
        <v>100</v>
      </c>
    </row>
    <row r="289" spans="1:23" x14ac:dyDescent="0.25">
      <c r="A289" s="66"/>
      <c r="B289" s="142" t="s">
        <v>159</v>
      </c>
      <c r="C289" s="143" t="s">
        <v>157</v>
      </c>
      <c r="D289" s="144" t="s">
        <v>142</v>
      </c>
      <c r="E289" s="144" t="s">
        <v>143</v>
      </c>
      <c r="F289" s="143">
        <v>100</v>
      </c>
      <c r="G289" s="143">
        <v>2</v>
      </c>
      <c r="H289" s="145" t="s">
        <v>141</v>
      </c>
      <c r="I289" s="143" t="s">
        <v>31</v>
      </c>
      <c r="J289" s="143" t="s">
        <v>14</v>
      </c>
      <c r="K289" s="143">
        <v>100</v>
      </c>
    </row>
    <row r="290" spans="1:23" x14ac:dyDescent="0.25">
      <c r="A290" s="66"/>
      <c r="B290" s="142" t="s">
        <v>159</v>
      </c>
      <c r="C290" s="143" t="s">
        <v>157</v>
      </c>
      <c r="D290" s="144" t="s">
        <v>144</v>
      </c>
      <c r="E290" s="144" t="s">
        <v>145</v>
      </c>
      <c r="F290" s="143">
        <v>100</v>
      </c>
      <c r="G290" s="143">
        <v>2</v>
      </c>
      <c r="H290" s="145" t="s">
        <v>63</v>
      </c>
      <c r="I290" s="143" t="s">
        <v>31</v>
      </c>
      <c r="J290" s="143" t="s">
        <v>15</v>
      </c>
      <c r="K290" s="143">
        <v>100</v>
      </c>
    </row>
    <row r="291" spans="1:23" x14ac:dyDescent="0.25">
      <c r="A291" s="66"/>
      <c r="B291" s="142" t="s">
        <v>159</v>
      </c>
      <c r="C291" s="143" t="s">
        <v>157</v>
      </c>
      <c r="D291" s="144" t="s">
        <v>145</v>
      </c>
      <c r="E291" s="144" t="s">
        <v>146</v>
      </c>
      <c r="F291" s="143">
        <v>100</v>
      </c>
      <c r="G291" s="143">
        <v>2</v>
      </c>
      <c r="H291" s="145" t="s">
        <v>63</v>
      </c>
      <c r="I291" s="143" t="s">
        <v>31</v>
      </c>
      <c r="J291" s="143" t="s">
        <v>14</v>
      </c>
      <c r="K291" s="143">
        <v>100</v>
      </c>
    </row>
    <row r="292" spans="1:23" x14ac:dyDescent="0.25">
      <c r="A292" s="66"/>
      <c r="B292" s="142" t="s">
        <v>159</v>
      </c>
      <c r="C292" s="143" t="s">
        <v>158</v>
      </c>
      <c r="D292" s="144" t="s">
        <v>139</v>
      </c>
      <c r="E292" s="144" t="s">
        <v>140</v>
      </c>
      <c r="F292" s="143">
        <v>100</v>
      </c>
      <c r="G292" s="143">
        <v>2</v>
      </c>
      <c r="H292" s="145" t="s">
        <v>141</v>
      </c>
      <c r="I292" s="143" t="s">
        <v>31</v>
      </c>
      <c r="J292" s="143" t="s">
        <v>16</v>
      </c>
      <c r="K292" s="143">
        <v>100</v>
      </c>
    </row>
    <row r="293" spans="1:23" x14ac:dyDescent="0.25">
      <c r="A293" s="66"/>
      <c r="B293" s="142" t="s">
        <v>159</v>
      </c>
      <c r="C293" s="143" t="s">
        <v>123</v>
      </c>
      <c r="D293" s="144" t="s">
        <v>139</v>
      </c>
      <c r="E293" s="144" t="s">
        <v>140</v>
      </c>
      <c r="F293" s="143">
        <v>100</v>
      </c>
      <c r="G293" s="143">
        <v>2</v>
      </c>
      <c r="H293" s="145" t="s">
        <v>148</v>
      </c>
      <c r="I293" s="143" t="s">
        <v>31</v>
      </c>
      <c r="J293" s="143" t="s">
        <v>22</v>
      </c>
      <c r="K293" s="143">
        <v>100</v>
      </c>
    </row>
    <row r="294" spans="1:23" x14ac:dyDescent="0.25">
      <c r="A294" s="66"/>
      <c r="B294" s="142" t="s">
        <v>159</v>
      </c>
      <c r="C294" s="143" t="s">
        <v>123</v>
      </c>
      <c r="D294" s="144" t="s">
        <v>140</v>
      </c>
      <c r="E294" s="144" t="s">
        <v>142</v>
      </c>
      <c r="F294" s="143">
        <v>100</v>
      </c>
      <c r="G294" s="143">
        <v>2</v>
      </c>
      <c r="H294" s="145" t="s">
        <v>141</v>
      </c>
      <c r="I294" s="143" t="s">
        <v>31</v>
      </c>
      <c r="J294" s="143" t="s">
        <v>15</v>
      </c>
      <c r="K294" s="143">
        <v>100</v>
      </c>
    </row>
    <row r="295" spans="1:23" x14ac:dyDescent="0.25">
      <c r="A295" s="66"/>
      <c r="B295" s="142" t="s">
        <v>159</v>
      </c>
      <c r="C295" s="143" t="s">
        <v>123</v>
      </c>
      <c r="D295" s="144" t="s">
        <v>144</v>
      </c>
      <c r="E295" s="144" t="s">
        <v>145</v>
      </c>
      <c r="F295" s="143">
        <v>100</v>
      </c>
      <c r="G295" s="143">
        <v>2</v>
      </c>
      <c r="H295" s="145" t="s">
        <v>148</v>
      </c>
      <c r="I295" s="143" t="s">
        <v>31</v>
      </c>
      <c r="J295" s="143" t="s">
        <v>23</v>
      </c>
      <c r="K295" s="143">
        <v>100</v>
      </c>
    </row>
    <row r="296" spans="1:23" x14ac:dyDescent="0.25">
      <c r="A296" s="66"/>
      <c r="B296" s="142" t="s">
        <v>159</v>
      </c>
      <c r="C296" s="143" t="s">
        <v>123</v>
      </c>
      <c r="D296" s="144" t="s">
        <v>145</v>
      </c>
      <c r="E296" s="144" t="s">
        <v>146</v>
      </c>
      <c r="F296" s="143">
        <v>100</v>
      </c>
      <c r="G296" s="143">
        <v>2</v>
      </c>
      <c r="H296" s="145" t="s">
        <v>148</v>
      </c>
      <c r="I296" s="143" t="s">
        <v>31</v>
      </c>
      <c r="J296" s="143" t="s">
        <v>21</v>
      </c>
      <c r="K296" s="143">
        <v>100</v>
      </c>
    </row>
    <row r="297" spans="1:23" x14ac:dyDescent="0.25">
      <c r="A297" s="66"/>
      <c r="B297" s="142" t="s">
        <v>159</v>
      </c>
      <c r="C297" s="143" t="s">
        <v>125</v>
      </c>
      <c r="D297" s="144" t="s">
        <v>139</v>
      </c>
      <c r="E297" s="144" t="s">
        <v>140</v>
      </c>
      <c r="F297" s="143">
        <v>100</v>
      </c>
      <c r="G297" s="143">
        <v>2</v>
      </c>
      <c r="H297" s="145" t="s">
        <v>30</v>
      </c>
      <c r="I297" s="143" t="s">
        <v>31</v>
      </c>
      <c r="J297" s="143" t="s">
        <v>15</v>
      </c>
      <c r="K297" s="143">
        <v>100</v>
      </c>
    </row>
    <row r="298" spans="1:23" x14ac:dyDescent="0.25">
      <c r="A298" s="66"/>
      <c r="B298" s="142" t="s">
        <v>159</v>
      </c>
      <c r="C298" s="143" t="s">
        <v>125</v>
      </c>
      <c r="D298" s="144" t="s">
        <v>140</v>
      </c>
      <c r="E298" s="144" t="s">
        <v>142</v>
      </c>
      <c r="F298" s="143">
        <v>100</v>
      </c>
      <c r="G298" s="143">
        <v>2</v>
      </c>
      <c r="H298" s="145" t="s">
        <v>30</v>
      </c>
      <c r="I298" s="143" t="s">
        <v>31</v>
      </c>
      <c r="J298" s="143" t="s">
        <v>16</v>
      </c>
      <c r="K298" s="143">
        <v>100</v>
      </c>
    </row>
    <row r="299" spans="1:23" x14ac:dyDescent="0.25">
      <c r="A299" s="66"/>
      <c r="B299" s="142" t="s">
        <v>159</v>
      </c>
      <c r="C299" s="143" t="s">
        <v>125</v>
      </c>
      <c r="D299" s="144" t="s">
        <v>142</v>
      </c>
      <c r="E299" s="144" t="s">
        <v>143</v>
      </c>
      <c r="F299" s="143">
        <v>100</v>
      </c>
      <c r="G299" s="143">
        <v>2</v>
      </c>
      <c r="H299" s="145" t="s">
        <v>30</v>
      </c>
      <c r="I299" s="143" t="s">
        <v>31</v>
      </c>
      <c r="J299" s="143" t="s">
        <v>14</v>
      </c>
      <c r="K299" s="143">
        <v>100</v>
      </c>
    </row>
    <row r="300" spans="1:23" x14ac:dyDescent="0.25">
      <c r="A300" s="66"/>
      <c r="B300" s="142" t="s">
        <v>159</v>
      </c>
      <c r="C300" s="143" t="s">
        <v>125</v>
      </c>
      <c r="D300" s="146" t="s">
        <v>143</v>
      </c>
      <c r="E300" s="146" t="s">
        <v>154</v>
      </c>
      <c r="F300" s="143">
        <v>120</v>
      </c>
      <c r="G300" s="147">
        <f>IF(F300&gt;=300,6,IF(F300&gt;=250,5,IF(F300&gt;=200,4,IF(F300&gt;=150,3,IF(F300&gt;=100,2,IF(F300&gt;=50,1,0))))))</f>
        <v>2</v>
      </c>
      <c r="H300" s="149" t="s">
        <v>85</v>
      </c>
      <c r="I300" s="144" t="s">
        <v>13</v>
      </c>
      <c r="J300" s="144" t="s">
        <v>38</v>
      </c>
      <c r="K300" s="143">
        <v>120</v>
      </c>
    </row>
    <row r="301" spans="1:23" x14ac:dyDescent="0.25">
      <c r="A301" s="66"/>
      <c r="B301" s="142" t="s">
        <v>159</v>
      </c>
      <c r="C301" s="143" t="s">
        <v>125</v>
      </c>
      <c r="D301" s="146" t="s">
        <v>154</v>
      </c>
      <c r="E301" s="146" t="s">
        <v>155</v>
      </c>
      <c r="F301" s="143">
        <v>120</v>
      </c>
      <c r="G301" s="147">
        <f>IF(F301&gt;=300,6,IF(F301&gt;=250,5,IF(F301&gt;=200,4,IF(F301&gt;=150,3,IF(F301&gt;=100,2,IF(F301&gt;=50,1,0))))))</f>
        <v>2</v>
      </c>
      <c r="H301" s="149" t="s">
        <v>85</v>
      </c>
      <c r="I301" s="144" t="s">
        <v>13</v>
      </c>
      <c r="J301" s="144" t="s">
        <v>39</v>
      </c>
      <c r="K301" s="143">
        <v>120</v>
      </c>
    </row>
    <row r="302" spans="1:23" x14ac:dyDescent="0.25">
      <c r="A302" s="66"/>
      <c r="B302" s="142" t="s">
        <v>159</v>
      </c>
      <c r="C302" s="143" t="s">
        <v>125</v>
      </c>
      <c r="D302" s="146" t="s">
        <v>155</v>
      </c>
      <c r="E302" s="146" t="s">
        <v>156</v>
      </c>
      <c r="F302" s="143">
        <v>120</v>
      </c>
      <c r="G302" s="147">
        <f>IF(F302&gt;=300,6,IF(F302&gt;=250,5,IF(F302&gt;=200,4,IF(F302&gt;=150,3,IF(F302&gt;=100,2,IF(F302&gt;=50,1,0))))))</f>
        <v>2</v>
      </c>
      <c r="H302" s="149" t="s">
        <v>85</v>
      </c>
      <c r="I302" s="144" t="s">
        <v>13</v>
      </c>
      <c r="J302" s="144" t="s">
        <v>40</v>
      </c>
      <c r="K302" s="143">
        <v>120</v>
      </c>
    </row>
    <row r="303" spans="1:23" s="14" customFormat="1" x14ac:dyDescent="0.25">
      <c r="A303" s="55"/>
      <c r="B303" s="64"/>
      <c r="C303" s="55"/>
      <c r="D303" s="55"/>
      <c r="E303" s="55"/>
      <c r="F303" s="55"/>
      <c r="G303" s="56"/>
      <c r="H303" s="55"/>
      <c r="I303" s="64"/>
      <c r="J303" s="55"/>
      <c r="K303" s="75"/>
    </row>
    <row r="304" spans="1:23" x14ac:dyDescent="0.25">
      <c r="A304" s="169">
        <v>14</v>
      </c>
      <c r="B304" s="16" t="s">
        <v>64</v>
      </c>
      <c r="C304" s="24" t="s">
        <v>109</v>
      </c>
      <c r="D304" s="25">
        <v>0.39583333333333331</v>
      </c>
      <c r="E304" s="25">
        <v>0.43055555555555558</v>
      </c>
      <c r="F304" s="17">
        <v>50</v>
      </c>
      <c r="G304" s="32">
        <v>1</v>
      </c>
      <c r="H304" s="16" t="s">
        <v>56</v>
      </c>
      <c r="I304" s="26" t="s">
        <v>13</v>
      </c>
      <c r="J304" s="26" t="s">
        <v>15</v>
      </c>
      <c r="K304" s="47" t="s">
        <v>120</v>
      </c>
      <c r="M304" s="7"/>
      <c r="N304" s="82"/>
      <c r="O304" s="93"/>
      <c r="P304" s="94"/>
      <c r="Q304" s="94"/>
      <c r="R304" s="85"/>
      <c r="S304" s="86"/>
      <c r="T304" s="82"/>
      <c r="U304" s="95"/>
      <c r="V304" s="95"/>
      <c r="W304" s="87"/>
    </row>
    <row r="305" spans="1:23" x14ac:dyDescent="0.25">
      <c r="A305" s="66"/>
      <c r="B305" s="16" t="s">
        <v>64</v>
      </c>
      <c r="C305" s="24" t="s">
        <v>109</v>
      </c>
      <c r="D305" s="25">
        <v>0.54166666666666663</v>
      </c>
      <c r="E305" s="25">
        <v>0.61111111111111116</v>
      </c>
      <c r="F305" s="17">
        <v>100</v>
      </c>
      <c r="G305" s="32">
        <v>2</v>
      </c>
      <c r="H305" s="16" t="s">
        <v>56</v>
      </c>
      <c r="I305" s="26" t="s">
        <v>31</v>
      </c>
      <c r="J305" s="26" t="s">
        <v>15</v>
      </c>
      <c r="K305" s="47" t="s">
        <v>118</v>
      </c>
      <c r="M305" s="7"/>
      <c r="N305" s="82"/>
      <c r="O305" s="93"/>
      <c r="P305" s="94"/>
      <c r="Q305" s="94"/>
      <c r="R305" s="85"/>
      <c r="S305" s="86"/>
      <c r="T305" s="82"/>
      <c r="U305" s="95"/>
      <c r="V305" s="95"/>
      <c r="W305" s="87"/>
    </row>
    <row r="306" spans="1:23" x14ac:dyDescent="0.25">
      <c r="A306" s="66"/>
      <c r="B306" s="16" t="s">
        <v>64</v>
      </c>
      <c r="C306" s="24" t="s">
        <v>109</v>
      </c>
      <c r="D306" s="25">
        <v>0.3611111111111111</v>
      </c>
      <c r="E306" s="25">
        <v>0.39583333333333331</v>
      </c>
      <c r="F306" s="17">
        <v>50</v>
      </c>
      <c r="G306" s="32">
        <v>1</v>
      </c>
      <c r="H306" s="16" t="s">
        <v>56</v>
      </c>
      <c r="I306" s="26" t="s">
        <v>13</v>
      </c>
      <c r="J306" s="26" t="s">
        <v>16</v>
      </c>
      <c r="K306" s="47" t="s">
        <v>120</v>
      </c>
      <c r="M306" s="7"/>
      <c r="N306" s="82"/>
      <c r="O306" s="93"/>
      <c r="P306" s="94"/>
      <c r="Q306" s="94"/>
      <c r="R306" s="85"/>
      <c r="S306" s="86"/>
      <c r="T306" s="82"/>
      <c r="U306" s="95"/>
      <c r="V306" s="95"/>
      <c r="W306" s="87"/>
    </row>
    <row r="307" spans="1:23" x14ac:dyDescent="0.25">
      <c r="A307" s="66"/>
      <c r="B307" s="16" t="s">
        <v>64</v>
      </c>
      <c r="C307" s="24" t="s">
        <v>97</v>
      </c>
      <c r="D307" s="25">
        <v>0.39583333333333331</v>
      </c>
      <c r="E307" s="25">
        <v>0.43055555555555558</v>
      </c>
      <c r="F307" s="17">
        <v>50</v>
      </c>
      <c r="G307" s="32">
        <v>1</v>
      </c>
      <c r="H307" s="16" t="s">
        <v>56</v>
      </c>
      <c r="I307" s="26" t="s">
        <v>13</v>
      </c>
      <c r="J307" s="26" t="s">
        <v>14</v>
      </c>
      <c r="K307" s="47" t="s">
        <v>120</v>
      </c>
      <c r="M307" s="7"/>
      <c r="N307" s="82"/>
      <c r="O307" s="93"/>
      <c r="P307" s="94"/>
      <c r="Q307" s="94"/>
      <c r="R307" s="85"/>
      <c r="S307" s="86"/>
      <c r="T307" s="82"/>
      <c r="U307" s="95"/>
      <c r="V307" s="95"/>
      <c r="W307" s="87"/>
    </row>
    <row r="308" spans="1:23" x14ac:dyDescent="0.25">
      <c r="A308" s="66"/>
      <c r="B308" s="16" t="s">
        <v>64</v>
      </c>
      <c r="C308" s="24" t="s">
        <v>97</v>
      </c>
      <c r="D308" s="25">
        <v>0.3263888888888889</v>
      </c>
      <c r="E308" s="25">
        <v>0.39583333333333331</v>
      </c>
      <c r="F308" s="17">
        <v>100</v>
      </c>
      <c r="G308" s="32">
        <v>2</v>
      </c>
      <c r="H308" s="16" t="s">
        <v>56</v>
      </c>
      <c r="I308" s="26" t="s">
        <v>31</v>
      </c>
      <c r="J308" s="26" t="s">
        <v>14</v>
      </c>
      <c r="K308" s="47" t="s">
        <v>118</v>
      </c>
      <c r="L308" s="14"/>
      <c r="M308" s="7"/>
      <c r="N308" s="82"/>
      <c r="O308" s="93"/>
      <c r="P308" s="94"/>
      <c r="Q308" s="94"/>
      <c r="R308" s="85"/>
      <c r="S308" s="86"/>
      <c r="T308" s="82"/>
      <c r="U308" s="95"/>
      <c r="V308" s="95"/>
      <c r="W308" s="87"/>
    </row>
    <row r="309" spans="1:23" x14ac:dyDescent="0.25">
      <c r="A309" s="66"/>
      <c r="B309" s="16" t="s">
        <v>64</v>
      </c>
      <c r="C309" s="24" t="s">
        <v>97</v>
      </c>
      <c r="D309" s="25">
        <v>0.61111111111111116</v>
      </c>
      <c r="E309" s="25">
        <v>0.68055555555555558</v>
      </c>
      <c r="F309" s="17">
        <v>100</v>
      </c>
      <c r="G309" s="32">
        <v>2</v>
      </c>
      <c r="H309" s="16" t="s">
        <v>56</v>
      </c>
      <c r="I309" s="26" t="s">
        <v>31</v>
      </c>
      <c r="J309" s="26" t="s">
        <v>16</v>
      </c>
      <c r="K309" s="47" t="s">
        <v>118</v>
      </c>
      <c r="M309" s="7"/>
    </row>
    <row r="310" spans="1:23" x14ac:dyDescent="0.25">
      <c r="A310" s="66"/>
      <c r="B310" s="16" t="s">
        <v>64</v>
      </c>
      <c r="C310" s="24" t="s">
        <v>94</v>
      </c>
      <c r="D310" s="25">
        <v>0.3611111111111111</v>
      </c>
      <c r="E310" s="25">
        <v>0.43055555555555558</v>
      </c>
      <c r="F310" s="17">
        <v>100</v>
      </c>
      <c r="G310" s="32">
        <v>2</v>
      </c>
      <c r="H310" s="16" t="s">
        <v>56</v>
      </c>
      <c r="I310" s="26" t="s">
        <v>13</v>
      </c>
      <c r="J310" s="26" t="s">
        <v>127</v>
      </c>
      <c r="K310" s="47" t="s">
        <v>118</v>
      </c>
      <c r="M310" s="7"/>
    </row>
    <row r="311" spans="1:23" x14ac:dyDescent="0.25">
      <c r="A311" s="66"/>
      <c r="B311" s="16" t="s">
        <v>64</v>
      </c>
      <c r="C311" s="24" t="s">
        <v>94</v>
      </c>
      <c r="D311" s="25">
        <v>0.43055555555555558</v>
      </c>
      <c r="E311" s="25">
        <v>0.5</v>
      </c>
      <c r="F311" s="17">
        <v>100</v>
      </c>
      <c r="G311" s="32">
        <v>2</v>
      </c>
      <c r="H311" s="16" t="s">
        <v>56</v>
      </c>
      <c r="I311" s="26" t="s">
        <v>13</v>
      </c>
      <c r="J311" s="26" t="s">
        <v>128</v>
      </c>
      <c r="K311" s="47" t="s">
        <v>118</v>
      </c>
      <c r="M311" s="7"/>
    </row>
    <row r="312" spans="1:23" x14ac:dyDescent="0.25">
      <c r="A312" s="66"/>
      <c r="B312" s="16" t="s">
        <v>64</v>
      </c>
      <c r="C312" s="24" t="s">
        <v>105</v>
      </c>
      <c r="D312" s="25">
        <v>0.39583333333333331</v>
      </c>
      <c r="E312" s="25">
        <v>0.43055555555555558</v>
      </c>
      <c r="F312" s="17">
        <v>50</v>
      </c>
      <c r="G312" s="32">
        <v>1</v>
      </c>
      <c r="H312" s="16" t="s">
        <v>56</v>
      </c>
      <c r="I312" s="26" t="s">
        <v>13</v>
      </c>
      <c r="J312" s="26" t="s">
        <v>15</v>
      </c>
      <c r="K312" s="47" t="s">
        <v>120</v>
      </c>
      <c r="M312" s="7"/>
    </row>
    <row r="313" spans="1:23" x14ac:dyDescent="0.25">
      <c r="A313" s="66"/>
      <c r="B313" s="16" t="s">
        <v>64</v>
      </c>
      <c r="C313" s="24" t="s">
        <v>105</v>
      </c>
      <c r="D313" s="25">
        <v>0.54166666666666663</v>
      </c>
      <c r="E313" s="25">
        <v>0.61111111111111116</v>
      </c>
      <c r="F313" s="17">
        <v>100</v>
      </c>
      <c r="G313" s="32">
        <v>2</v>
      </c>
      <c r="H313" s="16" t="s">
        <v>56</v>
      </c>
      <c r="I313" s="26" t="s">
        <v>31</v>
      </c>
      <c r="J313" s="26" t="s">
        <v>15</v>
      </c>
      <c r="K313" s="47" t="s">
        <v>118</v>
      </c>
      <c r="M313" s="7"/>
    </row>
    <row r="314" spans="1:23" x14ac:dyDescent="0.25">
      <c r="A314" s="66"/>
      <c r="B314" s="16" t="s">
        <v>64</v>
      </c>
      <c r="C314" s="24" t="s">
        <v>105</v>
      </c>
      <c r="D314" s="25">
        <v>0.3611111111111111</v>
      </c>
      <c r="E314" s="25">
        <v>0.39583333333333331</v>
      </c>
      <c r="F314" s="17">
        <v>50</v>
      </c>
      <c r="G314" s="32">
        <v>1</v>
      </c>
      <c r="H314" s="16" t="s">
        <v>56</v>
      </c>
      <c r="I314" s="26" t="s">
        <v>13</v>
      </c>
      <c r="J314" s="26" t="s">
        <v>16</v>
      </c>
      <c r="K314" s="47" t="s">
        <v>120</v>
      </c>
      <c r="M314" s="7"/>
    </row>
    <row r="315" spans="1:23" x14ac:dyDescent="0.25">
      <c r="A315" s="66"/>
      <c r="B315" s="16" t="s">
        <v>64</v>
      </c>
      <c r="C315" s="24" t="s">
        <v>98</v>
      </c>
      <c r="D315" s="25">
        <v>0.39583333333333331</v>
      </c>
      <c r="E315" s="25">
        <v>0.43055555555555558</v>
      </c>
      <c r="F315" s="17">
        <v>50</v>
      </c>
      <c r="G315" s="32">
        <v>1</v>
      </c>
      <c r="H315" s="16" t="s">
        <v>56</v>
      </c>
      <c r="I315" s="26" t="s">
        <v>13</v>
      </c>
      <c r="J315" s="26" t="s">
        <v>14</v>
      </c>
      <c r="K315" s="47" t="s">
        <v>120</v>
      </c>
      <c r="M315" s="7"/>
    </row>
    <row r="316" spans="1:23" x14ac:dyDescent="0.25">
      <c r="A316" s="66"/>
      <c r="B316" s="16" t="s">
        <v>64</v>
      </c>
      <c r="C316" s="101" t="s">
        <v>98</v>
      </c>
      <c r="D316" s="25">
        <v>0.61111111111111116</v>
      </c>
      <c r="E316" s="25">
        <v>0.68055555555555558</v>
      </c>
      <c r="F316" s="17">
        <v>100</v>
      </c>
      <c r="G316" s="32">
        <v>2</v>
      </c>
      <c r="H316" s="16" t="s">
        <v>56</v>
      </c>
      <c r="I316" s="26" t="s">
        <v>13</v>
      </c>
      <c r="J316" s="26" t="s">
        <v>127</v>
      </c>
      <c r="K316" s="47" t="s">
        <v>118</v>
      </c>
      <c r="M316" s="7"/>
    </row>
    <row r="317" spans="1:23" x14ac:dyDescent="0.25">
      <c r="A317" s="66"/>
      <c r="B317" s="16" t="s">
        <v>64</v>
      </c>
      <c r="C317" s="24" t="s">
        <v>107</v>
      </c>
      <c r="D317" s="25">
        <v>0.54166666666666663</v>
      </c>
      <c r="E317" s="25">
        <v>0.61111111111111116</v>
      </c>
      <c r="F317" s="17">
        <v>100</v>
      </c>
      <c r="G317" s="32">
        <v>2</v>
      </c>
      <c r="H317" s="16" t="s">
        <v>56</v>
      </c>
      <c r="I317" s="26" t="s">
        <v>31</v>
      </c>
      <c r="J317" s="26" t="s">
        <v>15</v>
      </c>
      <c r="K317" s="47" t="s">
        <v>118</v>
      </c>
      <c r="M317" s="7"/>
    </row>
    <row r="318" spans="1:23" x14ac:dyDescent="0.25">
      <c r="A318" s="66"/>
      <c r="B318" s="16" t="s">
        <v>64</v>
      </c>
      <c r="C318" s="24" t="s">
        <v>95</v>
      </c>
      <c r="D318" s="25">
        <v>0.39583333333333331</v>
      </c>
      <c r="E318" s="25">
        <v>0.43055555555555558</v>
      </c>
      <c r="F318" s="17">
        <v>50</v>
      </c>
      <c r="G318" s="32">
        <v>1</v>
      </c>
      <c r="H318" s="16" t="s">
        <v>56</v>
      </c>
      <c r="I318" s="26" t="s">
        <v>13</v>
      </c>
      <c r="J318" s="26" t="s">
        <v>14</v>
      </c>
      <c r="K318" s="47" t="s">
        <v>120</v>
      </c>
      <c r="M318" s="7"/>
    </row>
    <row r="319" spans="1:23" x14ac:dyDescent="0.25">
      <c r="A319" s="66"/>
      <c r="B319" s="16" t="s">
        <v>64</v>
      </c>
      <c r="C319" s="24" t="s">
        <v>95</v>
      </c>
      <c r="D319" s="25">
        <v>0.3263888888888889</v>
      </c>
      <c r="E319" s="25">
        <v>0.39583333333333331</v>
      </c>
      <c r="F319" s="17">
        <v>100</v>
      </c>
      <c r="G319" s="32">
        <v>2</v>
      </c>
      <c r="H319" s="16" t="s">
        <v>56</v>
      </c>
      <c r="I319" s="26" t="s">
        <v>31</v>
      </c>
      <c r="J319" s="26" t="s">
        <v>14</v>
      </c>
      <c r="K319" s="47" t="s">
        <v>118</v>
      </c>
      <c r="M319" s="7"/>
    </row>
    <row r="320" spans="1:23" x14ac:dyDescent="0.25">
      <c r="A320" s="66"/>
      <c r="B320" s="16" t="s">
        <v>64</v>
      </c>
      <c r="C320" s="24" t="s">
        <v>100</v>
      </c>
      <c r="D320" s="25">
        <v>0.3611111111111111</v>
      </c>
      <c r="E320" s="25">
        <v>0.43055555555555558</v>
      </c>
      <c r="F320" s="17">
        <v>100</v>
      </c>
      <c r="G320" s="32">
        <v>2</v>
      </c>
      <c r="H320" s="16" t="s">
        <v>56</v>
      </c>
      <c r="I320" s="26" t="s">
        <v>13</v>
      </c>
      <c r="J320" s="26" t="s">
        <v>127</v>
      </c>
      <c r="K320" s="47" t="s">
        <v>118</v>
      </c>
      <c r="M320" s="7"/>
    </row>
    <row r="321" spans="1:13" x14ac:dyDescent="0.25">
      <c r="A321" s="66"/>
      <c r="B321" s="16" t="s">
        <v>64</v>
      </c>
      <c r="C321" s="24" t="s">
        <v>100</v>
      </c>
      <c r="D321" s="25">
        <v>0.43055555555555558</v>
      </c>
      <c r="E321" s="25">
        <v>0.5</v>
      </c>
      <c r="F321" s="17">
        <v>100</v>
      </c>
      <c r="G321" s="32">
        <v>2</v>
      </c>
      <c r="H321" s="16" t="s">
        <v>56</v>
      </c>
      <c r="I321" s="26" t="s">
        <v>13</v>
      </c>
      <c r="J321" s="26" t="s">
        <v>128</v>
      </c>
      <c r="K321" s="47" t="s">
        <v>118</v>
      </c>
      <c r="M321" s="7"/>
    </row>
    <row r="322" spans="1:13" x14ac:dyDescent="0.25">
      <c r="A322" s="66"/>
      <c r="B322" s="16" t="s">
        <v>64</v>
      </c>
      <c r="C322" s="24" t="s">
        <v>106</v>
      </c>
      <c r="D322" s="25">
        <v>0.39583333333333331</v>
      </c>
      <c r="E322" s="25">
        <v>0.43055555555555558</v>
      </c>
      <c r="F322" s="17">
        <v>50</v>
      </c>
      <c r="G322" s="32">
        <v>1</v>
      </c>
      <c r="H322" s="16" t="s">
        <v>56</v>
      </c>
      <c r="I322" s="26" t="s">
        <v>13</v>
      </c>
      <c r="J322" s="26" t="s">
        <v>15</v>
      </c>
      <c r="K322" s="47" t="s">
        <v>120</v>
      </c>
      <c r="M322" s="7"/>
    </row>
    <row r="323" spans="1:13" x14ac:dyDescent="0.25">
      <c r="A323" s="66"/>
      <c r="B323" s="16" t="s">
        <v>64</v>
      </c>
      <c r="C323" s="24" t="s">
        <v>106</v>
      </c>
      <c r="D323" s="25">
        <v>0.3611111111111111</v>
      </c>
      <c r="E323" s="25">
        <v>0.39583333333333331</v>
      </c>
      <c r="F323" s="17">
        <v>50</v>
      </c>
      <c r="G323" s="32">
        <v>1</v>
      </c>
      <c r="H323" s="16" t="s">
        <v>56</v>
      </c>
      <c r="I323" s="26" t="s">
        <v>13</v>
      </c>
      <c r="J323" s="26" t="s">
        <v>16</v>
      </c>
      <c r="K323" s="47" t="s">
        <v>120</v>
      </c>
      <c r="M323" s="7"/>
    </row>
    <row r="324" spans="1:13" x14ac:dyDescent="0.25">
      <c r="A324" s="66"/>
      <c r="B324" s="16" t="s">
        <v>64</v>
      </c>
      <c r="C324" s="24" t="s">
        <v>99</v>
      </c>
      <c r="D324" s="25">
        <v>0.39583333333333331</v>
      </c>
      <c r="E324" s="25">
        <v>0.43055555555555558</v>
      </c>
      <c r="F324" s="17">
        <v>50</v>
      </c>
      <c r="G324" s="32">
        <v>1</v>
      </c>
      <c r="H324" s="16" t="s">
        <v>56</v>
      </c>
      <c r="I324" s="26" t="s">
        <v>13</v>
      </c>
      <c r="J324" s="26" t="s">
        <v>14</v>
      </c>
      <c r="K324" s="47" t="s">
        <v>120</v>
      </c>
      <c r="M324" s="7"/>
    </row>
    <row r="325" spans="1:13" x14ac:dyDescent="0.25">
      <c r="A325" s="66"/>
      <c r="B325" s="16" t="s">
        <v>64</v>
      </c>
      <c r="C325" s="24" t="s">
        <v>102</v>
      </c>
      <c r="D325" s="25">
        <v>0.54166666666666663</v>
      </c>
      <c r="E325" s="25">
        <v>0.61111111111111116</v>
      </c>
      <c r="F325" s="17">
        <v>100</v>
      </c>
      <c r="G325" s="32">
        <v>2</v>
      </c>
      <c r="H325" s="16" t="s">
        <v>56</v>
      </c>
      <c r="I325" s="26" t="s">
        <v>31</v>
      </c>
      <c r="J325" s="26" t="s">
        <v>15</v>
      </c>
      <c r="K325" s="47" t="s">
        <v>118</v>
      </c>
      <c r="M325" s="7"/>
    </row>
    <row r="326" spans="1:13" x14ac:dyDescent="0.25">
      <c r="A326" s="66"/>
      <c r="B326" s="16" t="s">
        <v>64</v>
      </c>
      <c r="C326" s="24" t="s">
        <v>119</v>
      </c>
      <c r="D326" s="25">
        <v>0.3611111111111111</v>
      </c>
      <c r="E326" s="25">
        <v>0.43055555555555558</v>
      </c>
      <c r="F326" s="17">
        <v>100</v>
      </c>
      <c r="G326" s="32">
        <v>2</v>
      </c>
      <c r="H326" s="16" t="s">
        <v>56</v>
      </c>
      <c r="I326" s="26" t="s">
        <v>13</v>
      </c>
      <c r="J326" s="26" t="s">
        <v>127</v>
      </c>
      <c r="K326" s="47" t="s">
        <v>118</v>
      </c>
      <c r="M326" s="7"/>
    </row>
    <row r="327" spans="1:13" x14ac:dyDescent="0.25">
      <c r="A327" s="66"/>
      <c r="B327" s="16" t="s">
        <v>64</v>
      </c>
      <c r="C327" s="24" t="s">
        <v>119</v>
      </c>
      <c r="D327" s="25">
        <v>0.43055555555555558</v>
      </c>
      <c r="E327" s="25">
        <v>0.5</v>
      </c>
      <c r="F327" s="17">
        <v>100</v>
      </c>
      <c r="G327" s="32">
        <v>2</v>
      </c>
      <c r="H327" s="16" t="s">
        <v>56</v>
      </c>
      <c r="I327" s="26" t="s">
        <v>13</v>
      </c>
      <c r="J327" s="26" t="s">
        <v>128</v>
      </c>
      <c r="K327" s="47" t="s">
        <v>118</v>
      </c>
      <c r="M327" s="7"/>
    </row>
    <row r="328" spans="1:13" s="14" customFormat="1" x14ac:dyDescent="0.25">
      <c r="A328" s="55"/>
      <c r="B328" s="64"/>
      <c r="C328" s="55"/>
      <c r="D328" s="55"/>
      <c r="E328" s="55"/>
      <c r="F328" s="55"/>
      <c r="G328" s="56"/>
      <c r="H328" s="55"/>
      <c r="I328" s="64"/>
      <c r="J328" s="55"/>
      <c r="K328" s="75"/>
      <c r="M328" s="7"/>
    </row>
    <row r="329" spans="1:13" x14ac:dyDescent="0.25">
      <c r="A329" s="169">
        <v>15</v>
      </c>
      <c r="B329" s="43" t="s">
        <v>65</v>
      </c>
      <c r="C329" s="62" t="s">
        <v>109</v>
      </c>
      <c r="D329" s="45">
        <v>0.33333333333333331</v>
      </c>
      <c r="E329" s="45">
        <v>0.40277777777777773</v>
      </c>
      <c r="F329" s="51">
        <f t="shared" ref="F329:F348" si="48">VALUE(K329)</f>
        <v>100</v>
      </c>
      <c r="G329" s="49">
        <f t="shared" ref="G329:G348" si="49">IF(F329&gt;=300,6,IF(F329&gt;=250,5,IF(F329&gt;=200,4,IF(F329&gt;=150,3,IF(F329&gt;=100,2,IF(F329&gt;=50,1,0))))))</f>
        <v>2</v>
      </c>
      <c r="H329" s="43" t="s">
        <v>85</v>
      </c>
      <c r="I329" s="46" t="s">
        <v>31</v>
      </c>
      <c r="J329" s="46" t="s">
        <v>39</v>
      </c>
      <c r="K329" s="47" t="str">
        <f t="shared" ref="K329:K348" si="50">TEXT(E329-D329,"[mm]")</f>
        <v>100</v>
      </c>
      <c r="M329" s="7"/>
    </row>
    <row r="330" spans="1:13" x14ac:dyDescent="0.25">
      <c r="A330" s="66"/>
      <c r="B330" s="43" t="s">
        <v>65</v>
      </c>
      <c r="C330" s="62" t="s">
        <v>97</v>
      </c>
      <c r="D330" s="45">
        <v>0.43055555555555558</v>
      </c>
      <c r="E330" s="45">
        <v>0.5</v>
      </c>
      <c r="F330" s="51">
        <f t="shared" si="48"/>
        <v>100</v>
      </c>
      <c r="G330" s="49">
        <f t="shared" si="49"/>
        <v>2</v>
      </c>
      <c r="H330" s="43" t="s">
        <v>91</v>
      </c>
      <c r="I330" s="46" t="s">
        <v>31</v>
      </c>
      <c r="J330" s="46" t="s">
        <v>17</v>
      </c>
      <c r="K330" s="47" t="str">
        <f t="shared" si="50"/>
        <v>100</v>
      </c>
      <c r="M330" s="7"/>
    </row>
    <row r="331" spans="1:13" x14ac:dyDescent="0.25">
      <c r="A331" s="66"/>
      <c r="B331" s="43" t="s">
        <v>65</v>
      </c>
      <c r="C331" s="62" t="s">
        <v>108</v>
      </c>
      <c r="D331" s="45">
        <v>0.3263888888888889</v>
      </c>
      <c r="E331" s="45">
        <v>0.39583333333333331</v>
      </c>
      <c r="F331" s="51">
        <f t="shared" si="48"/>
        <v>100</v>
      </c>
      <c r="G331" s="49">
        <f t="shared" si="49"/>
        <v>2</v>
      </c>
      <c r="H331" s="43" t="s">
        <v>45</v>
      </c>
      <c r="I331" s="46" t="s">
        <v>31</v>
      </c>
      <c r="J331" s="46" t="s">
        <v>14</v>
      </c>
      <c r="K331" s="47" t="str">
        <f t="shared" si="50"/>
        <v>100</v>
      </c>
      <c r="M331" s="7"/>
    </row>
    <row r="332" spans="1:13" x14ac:dyDescent="0.25">
      <c r="A332" s="66"/>
      <c r="B332" s="43" t="s">
        <v>65</v>
      </c>
      <c r="C332" s="44" t="s">
        <v>110</v>
      </c>
      <c r="D332" s="45">
        <v>0.58333333333333337</v>
      </c>
      <c r="E332" s="45">
        <v>0.61805555555555558</v>
      </c>
      <c r="F332" s="51">
        <f t="shared" si="48"/>
        <v>50</v>
      </c>
      <c r="G332" s="49">
        <f t="shared" si="49"/>
        <v>1</v>
      </c>
      <c r="H332" s="43" t="s">
        <v>51</v>
      </c>
      <c r="I332" s="46" t="s">
        <v>13</v>
      </c>
      <c r="J332" s="46" t="s">
        <v>19</v>
      </c>
      <c r="K332" s="47" t="str">
        <f t="shared" si="50"/>
        <v>50</v>
      </c>
      <c r="M332" s="7"/>
    </row>
    <row r="333" spans="1:13" x14ac:dyDescent="0.25">
      <c r="A333" s="66"/>
      <c r="B333" s="43" t="s">
        <v>65</v>
      </c>
      <c r="C333" s="44" t="s">
        <v>110</v>
      </c>
      <c r="D333" s="45">
        <v>0.39583333333333331</v>
      </c>
      <c r="E333" s="45">
        <v>0.43055555555555558</v>
      </c>
      <c r="F333" s="51">
        <f t="shared" si="48"/>
        <v>50</v>
      </c>
      <c r="G333" s="49">
        <f t="shared" si="49"/>
        <v>1</v>
      </c>
      <c r="H333" s="43" t="s">
        <v>66</v>
      </c>
      <c r="I333" s="46" t="s">
        <v>13</v>
      </c>
      <c r="J333" s="46" t="s">
        <v>18</v>
      </c>
      <c r="K333" s="47" t="str">
        <f t="shared" si="50"/>
        <v>50</v>
      </c>
      <c r="M333" s="7"/>
    </row>
    <row r="334" spans="1:13" x14ac:dyDescent="0.25">
      <c r="A334" s="66"/>
      <c r="B334" s="43" t="s">
        <v>65</v>
      </c>
      <c r="C334" s="112" t="s">
        <v>126</v>
      </c>
      <c r="D334" s="109">
        <v>0.61111111111111105</v>
      </c>
      <c r="E334" s="109">
        <v>0.68055555555555547</v>
      </c>
      <c r="F334" s="100">
        <f t="shared" si="48"/>
        <v>100</v>
      </c>
      <c r="G334" s="110">
        <f t="shared" si="49"/>
        <v>2</v>
      </c>
      <c r="H334" s="111" t="s">
        <v>134</v>
      </c>
      <c r="I334" s="112" t="s">
        <v>13</v>
      </c>
      <c r="J334" s="112" t="s">
        <v>127</v>
      </c>
      <c r="K334" s="13" t="str">
        <f t="shared" si="50"/>
        <v>100</v>
      </c>
      <c r="M334" s="7"/>
    </row>
    <row r="335" spans="1:13" x14ac:dyDescent="0.25">
      <c r="A335" s="66"/>
      <c r="B335" s="43" t="s">
        <v>65</v>
      </c>
      <c r="C335" s="112" t="s">
        <v>126</v>
      </c>
      <c r="D335" s="109">
        <v>0.54166666666666663</v>
      </c>
      <c r="E335" s="109">
        <v>0.61111111111111105</v>
      </c>
      <c r="F335" s="100">
        <f t="shared" si="48"/>
        <v>100</v>
      </c>
      <c r="G335" s="110">
        <f t="shared" si="49"/>
        <v>2</v>
      </c>
      <c r="H335" s="111" t="s">
        <v>134</v>
      </c>
      <c r="I335" s="112" t="s">
        <v>13</v>
      </c>
      <c r="J335" s="112" t="s">
        <v>128</v>
      </c>
      <c r="K335" s="13" t="str">
        <f t="shared" si="50"/>
        <v>100</v>
      </c>
      <c r="M335" s="7"/>
    </row>
    <row r="336" spans="1:13" x14ac:dyDescent="0.25">
      <c r="A336" s="66"/>
      <c r="B336" s="43" t="s">
        <v>65</v>
      </c>
      <c r="C336" s="62" t="s">
        <v>98</v>
      </c>
      <c r="D336" s="45">
        <v>0.43055555555555558</v>
      </c>
      <c r="E336" s="45">
        <v>0.5</v>
      </c>
      <c r="F336" s="51">
        <f t="shared" si="48"/>
        <v>100</v>
      </c>
      <c r="G336" s="49">
        <f t="shared" si="49"/>
        <v>2</v>
      </c>
      <c r="H336" s="43" t="s">
        <v>91</v>
      </c>
      <c r="I336" s="46" t="s">
        <v>31</v>
      </c>
      <c r="J336" s="46" t="s">
        <v>17</v>
      </c>
      <c r="K336" s="47" t="str">
        <f t="shared" si="50"/>
        <v>100</v>
      </c>
      <c r="M336" s="7"/>
    </row>
    <row r="337" spans="1:13" x14ac:dyDescent="0.25">
      <c r="A337" s="66"/>
      <c r="B337" s="43" t="s">
        <v>65</v>
      </c>
      <c r="C337" s="44" t="s">
        <v>107</v>
      </c>
      <c r="D337" s="45">
        <v>0.43055555555555558</v>
      </c>
      <c r="E337" s="45">
        <v>0.5</v>
      </c>
      <c r="F337" s="51">
        <f t="shared" si="48"/>
        <v>100</v>
      </c>
      <c r="G337" s="49">
        <f t="shared" si="49"/>
        <v>2</v>
      </c>
      <c r="H337" s="43" t="s">
        <v>66</v>
      </c>
      <c r="I337" s="46" t="s">
        <v>31</v>
      </c>
      <c r="J337" s="46" t="s">
        <v>18</v>
      </c>
      <c r="K337" s="47" t="str">
        <f t="shared" si="50"/>
        <v>100</v>
      </c>
      <c r="M337" s="7"/>
    </row>
    <row r="338" spans="1:13" x14ac:dyDescent="0.25">
      <c r="A338" s="66"/>
      <c r="B338" s="16" t="s">
        <v>65</v>
      </c>
      <c r="C338" s="44" t="s">
        <v>107</v>
      </c>
      <c r="D338" s="45">
        <v>0.77083333333333337</v>
      </c>
      <c r="E338" s="45">
        <v>0.80555555555555547</v>
      </c>
      <c r="F338" s="51">
        <f t="shared" si="48"/>
        <v>50</v>
      </c>
      <c r="G338" s="49">
        <f t="shared" si="49"/>
        <v>1</v>
      </c>
      <c r="H338" s="43" t="s">
        <v>51</v>
      </c>
      <c r="I338" s="46" t="s">
        <v>13</v>
      </c>
      <c r="J338" s="46" t="s">
        <v>18</v>
      </c>
      <c r="K338" s="47" t="str">
        <f t="shared" si="50"/>
        <v>50</v>
      </c>
      <c r="M338" s="7"/>
    </row>
    <row r="339" spans="1:13" x14ac:dyDescent="0.25">
      <c r="A339" s="66"/>
      <c r="B339" s="43" t="s">
        <v>65</v>
      </c>
      <c r="C339" s="44" t="s">
        <v>95</v>
      </c>
      <c r="D339" s="45">
        <v>0.3263888888888889</v>
      </c>
      <c r="E339" s="45">
        <v>0.39583333333333331</v>
      </c>
      <c r="F339" s="51">
        <f t="shared" si="48"/>
        <v>100</v>
      </c>
      <c r="G339" s="49">
        <f t="shared" si="49"/>
        <v>2</v>
      </c>
      <c r="H339" s="43" t="s">
        <v>51</v>
      </c>
      <c r="I339" s="46" t="s">
        <v>31</v>
      </c>
      <c r="J339" s="46" t="s">
        <v>18</v>
      </c>
      <c r="K339" s="47" t="str">
        <f t="shared" si="50"/>
        <v>100</v>
      </c>
      <c r="M339" s="7"/>
    </row>
    <row r="340" spans="1:13" x14ac:dyDescent="0.25">
      <c r="A340" s="66"/>
      <c r="B340" s="43" t="s">
        <v>65</v>
      </c>
      <c r="C340" s="44" t="s">
        <v>95</v>
      </c>
      <c r="D340" s="45">
        <v>0.39583333333333331</v>
      </c>
      <c r="E340" s="45">
        <v>0.43055555555555558</v>
      </c>
      <c r="F340" s="51">
        <f t="shared" si="48"/>
        <v>50</v>
      </c>
      <c r="G340" s="49">
        <f t="shared" si="49"/>
        <v>1</v>
      </c>
      <c r="H340" s="43" t="s">
        <v>66</v>
      </c>
      <c r="I340" s="46" t="s">
        <v>13</v>
      </c>
      <c r="J340" s="46" t="s">
        <v>18</v>
      </c>
      <c r="K340" s="47" t="str">
        <f t="shared" si="50"/>
        <v>50</v>
      </c>
      <c r="M340" s="7"/>
    </row>
    <row r="341" spans="1:13" x14ac:dyDescent="0.25">
      <c r="A341" s="66"/>
      <c r="B341" s="43" t="s">
        <v>65</v>
      </c>
      <c r="C341" s="112" t="s">
        <v>122</v>
      </c>
      <c r="D341" s="109">
        <v>0.61111111111111105</v>
      </c>
      <c r="E341" s="109">
        <v>0.68055555555555547</v>
      </c>
      <c r="F341" s="100">
        <f t="shared" si="48"/>
        <v>100</v>
      </c>
      <c r="G341" s="110">
        <f t="shared" si="49"/>
        <v>2</v>
      </c>
      <c r="H341" s="111" t="s">
        <v>134</v>
      </c>
      <c r="I341" s="112" t="s">
        <v>13</v>
      </c>
      <c r="J341" s="112" t="s">
        <v>127</v>
      </c>
      <c r="K341" s="13" t="str">
        <f t="shared" si="50"/>
        <v>100</v>
      </c>
      <c r="M341" s="7"/>
    </row>
    <row r="342" spans="1:13" x14ac:dyDescent="0.25">
      <c r="A342" s="66"/>
      <c r="B342" s="43" t="s">
        <v>65</v>
      </c>
      <c r="C342" s="112" t="s">
        <v>122</v>
      </c>
      <c r="D342" s="109">
        <v>0.54166666666666663</v>
      </c>
      <c r="E342" s="109">
        <v>0.61111111111111105</v>
      </c>
      <c r="F342" s="100">
        <f t="shared" si="48"/>
        <v>100</v>
      </c>
      <c r="G342" s="110">
        <f t="shared" si="49"/>
        <v>2</v>
      </c>
      <c r="H342" s="111" t="s">
        <v>134</v>
      </c>
      <c r="I342" s="112" t="s">
        <v>13</v>
      </c>
      <c r="J342" s="112" t="s">
        <v>128</v>
      </c>
      <c r="K342" s="13" t="str">
        <f t="shared" si="50"/>
        <v>100</v>
      </c>
      <c r="M342" s="7"/>
    </row>
    <row r="343" spans="1:13" x14ac:dyDescent="0.25">
      <c r="A343" s="66"/>
      <c r="B343" s="43" t="s">
        <v>65</v>
      </c>
      <c r="C343" s="44" t="s">
        <v>99</v>
      </c>
      <c r="D343" s="45">
        <v>0.43055555555555558</v>
      </c>
      <c r="E343" s="45">
        <v>0.5</v>
      </c>
      <c r="F343" s="51">
        <f t="shared" si="48"/>
        <v>100</v>
      </c>
      <c r="G343" s="49">
        <f t="shared" si="49"/>
        <v>2</v>
      </c>
      <c r="H343" s="43" t="s">
        <v>66</v>
      </c>
      <c r="I343" s="26" t="s">
        <v>31</v>
      </c>
      <c r="J343" s="46" t="s">
        <v>17</v>
      </c>
      <c r="K343" s="47" t="str">
        <f t="shared" si="50"/>
        <v>100</v>
      </c>
      <c r="M343" s="7"/>
    </row>
    <row r="344" spans="1:13" x14ac:dyDescent="0.25">
      <c r="A344" s="66"/>
      <c r="B344" s="43" t="s">
        <v>65</v>
      </c>
      <c r="C344" s="44" t="s">
        <v>99</v>
      </c>
      <c r="D344" s="45">
        <v>0.29166666666666669</v>
      </c>
      <c r="E344" s="45">
        <v>0.3263888888888889</v>
      </c>
      <c r="F344" s="51">
        <f t="shared" si="48"/>
        <v>50</v>
      </c>
      <c r="G344" s="49">
        <f t="shared" si="49"/>
        <v>1</v>
      </c>
      <c r="H344" s="43" t="s">
        <v>66</v>
      </c>
      <c r="I344" s="46" t="s">
        <v>31</v>
      </c>
      <c r="J344" s="46" t="s">
        <v>19</v>
      </c>
      <c r="K344" s="47" t="str">
        <f t="shared" si="50"/>
        <v>50</v>
      </c>
      <c r="M344" s="7"/>
    </row>
    <row r="345" spans="1:13" x14ac:dyDescent="0.25">
      <c r="A345" s="66"/>
      <c r="B345" s="43" t="s">
        <v>65</v>
      </c>
      <c r="C345" s="44" t="s">
        <v>99</v>
      </c>
      <c r="D345" s="45">
        <v>0.43055555555555558</v>
      </c>
      <c r="E345" s="45">
        <v>0.5</v>
      </c>
      <c r="F345" s="51">
        <f t="shared" si="48"/>
        <v>100</v>
      </c>
      <c r="G345" s="49">
        <f t="shared" si="49"/>
        <v>2</v>
      </c>
      <c r="H345" s="43" t="s">
        <v>66</v>
      </c>
      <c r="I345" s="46" t="s">
        <v>31</v>
      </c>
      <c r="J345" s="46" t="s">
        <v>18</v>
      </c>
      <c r="K345" s="47" t="str">
        <f t="shared" si="50"/>
        <v>100</v>
      </c>
      <c r="M345" s="7"/>
    </row>
    <row r="346" spans="1:13" x14ac:dyDescent="0.25">
      <c r="A346" s="66"/>
      <c r="B346" s="43" t="s">
        <v>65</v>
      </c>
      <c r="C346" s="44" t="s">
        <v>102</v>
      </c>
      <c r="D346" s="45">
        <v>0.43055555555555558</v>
      </c>
      <c r="E346" s="45">
        <v>0.5</v>
      </c>
      <c r="F346" s="51">
        <f t="shared" si="48"/>
        <v>100</v>
      </c>
      <c r="G346" s="49">
        <f t="shared" si="49"/>
        <v>2</v>
      </c>
      <c r="H346" s="43" t="s">
        <v>66</v>
      </c>
      <c r="I346" s="46" t="s">
        <v>13</v>
      </c>
      <c r="J346" s="46" t="s">
        <v>18</v>
      </c>
      <c r="K346" s="47" t="str">
        <f t="shared" si="50"/>
        <v>100</v>
      </c>
      <c r="M346" s="7"/>
    </row>
    <row r="347" spans="1:13" x14ac:dyDescent="0.25">
      <c r="A347" s="66"/>
      <c r="B347" s="43" t="s">
        <v>65</v>
      </c>
      <c r="C347" s="112" t="s">
        <v>123</v>
      </c>
      <c r="D347" s="109">
        <v>0.61111111111111105</v>
      </c>
      <c r="E347" s="109">
        <v>0.68055555555555547</v>
      </c>
      <c r="F347" s="100">
        <f t="shared" si="48"/>
        <v>100</v>
      </c>
      <c r="G347" s="110">
        <f t="shared" si="49"/>
        <v>2</v>
      </c>
      <c r="H347" s="111" t="s">
        <v>134</v>
      </c>
      <c r="I347" s="112" t="s">
        <v>13</v>
      </c>
      <c r="J347" s="112" t="s">
        <v>127</v>
      </c>
      <c r="K347" s="13" t="str">
        <f t="shared" si="50"/>
        <v>100</v>
      </c>
      <c r="M347" s="7"/>
    </row>
    <row r="348" spans="1:13" x14ac:dyDescent="0.25">
      <c r="A348" s="66"/>
      <c r="B348" s="43" t="s">
        <v>65</v>
      </c>
      <c r="C348" s="112" t="s">
        <v>123</v>
      </c>
      <c r="D348" s="109">
        <v>0.54166666666666663</v>
      </c>
      <c r="E348" s="109">
        <v>0.61111111111111105</v>
      </c>
      <c r="F348" s="100">
        <f t="shared" si="48"/>
        <v>100</v>
      </c>
      <c r="G348" s="110">
        <f t="shared" si="49"/>
        <v>2</v>
      </c>
      <c r="H348" s="111" t="s">
        <v>134</v>
      </c>
      <c r="I348" s="112" t="s">
        <v>13</v>
      </c>
      <c r="J348" s="112" t="s">
        <v>128</v>
      </c>
      <c r="K348" s="13" t="str">
        <f t="shared" si="50"/>
        <v>100</v>
      </c>
      <c r="M348" s="7"/>
    </row>
    <row r="349" spans="1:13" s="14" customFormat="1" x14ac:dyDescent="0.25">
      <c r="A349" s="55"/>
      <c r="B349" s="64"/>
      <c r="C349" s="55"/>
      <c r="D349" s="55"/>
      <c r="E349" s="55"/>
      <c r="F349" s="55"/>
      <c r="G349" s="56"/>
      <c r="H349" s="55"/>
      <c r="I349" s="64"/>
      <c r="J349" s="55"/>
      <c r="K349" s="75"/>
      <c r="M349" s="7"/>
    </row>
    <row r="350" spans="1:13" x14ac:dyDescent="0.25">
      <c r="A350" s="169">
        <v>16</v>
      </c>
      <c r="B350" s="43" t="s">
        <v>26</v>
      </c>
      <c r="C350" s="44" t="s">
        <v>109</v>
      </c>
      <c r="D350" s="45">
        <v>0.3611111111111111</v>
      </c>
      <c r="E350" s="45">
        <v>0.43055555555555558</v>
      </c>
      <c r="F350" s="51">
        <f t="shared" ref="F350:F364" si="51">VALUE(K350)</f>
        <v>100</v>
      </c>
      <c r="G350" s="49">
        <f t="shared" ref="G350:G364" si="52">IF(F350&gt;=300,6,IF(F350&gt;=250,5,IF(F350&gt;=200,4,IF(F350&gt;=150,3,IF(F350&gt;=100,2,IF(F350&gt;=50,1,0))))))</f>
        <v>2</v>
      </c>
      <c r="H350" s="43" t="s">
        <v>41</v>
      </c>
      <c r="I350" s="46" t="s">
        <v>31</v>
      </c>
      <c r="J350" s="46" t="s">
        <v>19</v>
      </c>
      <c r="K350" s="47" t="str">
        <f t="shared" ref="K350:K364" si="53">TEXT(E350-D350,"[mm]")</f>
        <v>100</v>
      </c>
      <c r="M350" s="7"/>
    </row>
    <row r="351" spans="1:13" x14ac:dyDescent="0.25">
      <c r="A351" s="66"/>
      <c r="B351" s="43" t="s">
        <v>26</v>
      </c>
      <c r="C351" s="44" t="s">
        <v>108</v>
      </c>
      <c r="D351" s="45">
        <v>0.43055555555555558</v>
      </c>
      <c r="E351" s="45">
        <v>0.5</v>
      </c>
      <c r="F351" s="51">
        <f t="shared" si="51"/>
        <v>100</v>
      </c>
      <c r="G351" s="49">
        <f t="shared" si="52"/>
        <v>2</v>
      </c>
      <c r="H351" s="43" t="s">
        <v>87</v>
      </c>
      <c r="I351" s="46" t="s">
        <v>31</v>
      </c>
      <c r="J351" s="46" t="s">
        <v>18</v>
      </c>
      <c r="K351" s="47" t="str">
        <f t="shared" si="53"/>
        <v>100</v>
      </c>
      <c r="M351" s="7"/>
    </row>
    <row r="352" spans="1:13" x14ac:dyDescent="0.25">
      <c r="A352" s="66"/>
      <c r="B352" s="43" t="s">
        <v>26</v>
      </c>
      <c r="C352" s="44" t="s">
        <v>93</v>
      </c>
      <c r="D352" s="45">
        <v>0.43055555555555558</v>
      </c>
      <c r="E352" s="45">
        <v>0.5</v>
      </c>
      <c r="F352" s="51">
        <f t="shared" si="51"/>
        <v>100</v>
      </c>
      <c r="G352" s="49">
        <f t="shared" si="52"/>
        <v>2</v>
      </c>
      <c r="H352" s="43" t="s">
        <v>41</v>
      </c>
      <c r="I352" s="46" t="s">
        <v>31</v>
      </c>
      <c r="J352" s="46" t="s">
        <v>17</v>
      </c>
      <c r="K352" s="47" t="str">
        <f t="shared" si="53"/>
        <v>100</v>
      </c>
      <c r="M352" s="7"/>
    </row>
    <row r="353" spans="1:11" x14ac:dyDescent="0.25">
      <c r="A353" s="66"/>
      <c r="B353" s="43" t="s">
        <v>26</v>
      </c>
      <c r="C353" s="44" t="s">
        <v>93</v>
      </c>
      <c r="D353" s="45">
        <v>0.29166666666666669</v>
      </c>
      <c r="E353" s="45">
        <v>0.3611111111111111</v>
      </c>
      <c r="F353" s="51">
        <f t="shared" si="51"/>
        <v>100</v>
      </c>
      <c r="G353" s="49">
        <f t="shared" si="52"/>
        <v>2</v>
      </c>
      <c r="H353" s="43" t="s">
        <v>41</v>
      </c>
      <c r="I353" s="46" t="s">
        <v>13</v>
      </c>
      <c r="J353" s="46" t="s">
        <v>18</v>
      </c>
      <c r="K353" s="47" t="str">
        <f t="shared" si="53"/>
        <v>100</v>
      </c>
    </row>
    <row r="354" spans="1:11" x14ac:dyDescent="0.25">
      <c r="A354" s="66"/>
      <c r="B354" s="43" t="s">
        <v>26</v>
      </c>
      <c r="C354" s="44" t="s">
        <v>93</v>
      </c>
      <c r="D354" s="45">
        <v>0.61111111111111105</v>
      </c>
      <c r="E354" s="45">
        <v>0.68055555555555547</v>
      </c>
      <c r="F354" s="51">
        <f t="shared" si="51"/>
        <v>100</v>
      </c>
      <c r="G354" s="49">
        <f t="shared" si="52"/>
        <v>2</v>
      </c>
      <c r="H354" s="43" t="s">
        <v>41</v>
      </c>
      <c r="I354" s="46" t="s">
        <v>31</v>
      </c>
      <c r="J354" s="46" t="s">
        <v>19</v>
      </c>
      <c r="K354" s="47" t="str">
        <f t="shared" si="53"/>
        <v>100</v>
      </c>
    </row>
    <row r="355" spans="1:11" x14ac:dyDescent="0.25">
      <c r="A355" s="66"/>
      <c r="B355" s="43" t="s">
        <v>26</v>
      </c>
      <c r="C355" s="44" t="s">
        <v>107</v>
      </c>
      <c r="D355" s="45">
        <v>0.54166666666666663</v>
      </c>
      <c r="E355" s="45">
        <v>0.61111111111111105</v>
      </c>
      <c r="F355" s="51">
        <f t="shared" si="51"/>
        <v>100</v>
      </c>
      <c r="G355" s="49">
        <f t="shared" si="52"/>
        <v>2</v>
      </c>
      <c r="H355" s="43" t="s">
        <v>87</v>
      </c>
      <c r="I355" s="46" t="s">
        <v>31</v>
      </c>
      <c r="J355" s="46" t="s">
        <v>17</v>
      </c>
      <c r="K355" s="47" t="str">
        <f t="shared" si="53"/>
        <v>100</v>
      </c>
    </row>
    <row r="356" spans="1:11" x14ac:dyDescent="0.25">
      <c r="A356" s="66"/>
      <c r="B356" s="43" t="s">
        <v>26</v>
      </c>
      <c r="C356" s="44" t="s">
        <v>107</v>
      </c>
      <c r="D356" s="45">
        <v>0.43055555555555558</v>
      </c>
      <c r="E356" s="45">
        <v>0.5</v>
      </c>
      <c r="F356" s="51">
        <f t="shared" si="51"/>
        <v>100</v>
      </c>
      <c r="G356" s="49">
        <f t="shared" si="52"/>
        <v>2</v>
      </c>
      <c r="H356" s="43" t="s">
        <v>87</v>
      </c>
      <c r="I356" s="46" t="s">
        <v>31</v>
      </c>
      <c r="J356" s="46" t="s">
        <v>18</v>
      </c>
      <c r="K356" s="47" t="str">
        <f t="shared" si="53"/>
        <v>100</v>
      </c>
    </row>
    <row r="357" spans="1:11" x14ac:dyDescent="0.25">
      <c r="A357" s="66"/>
      <c r="B357" s="43" t="s">
        <v>26</v>
      </c>
      <c r="C357" s="44" t="s">
        <v>95</v>
      </c>
      <c r="D357" s="45">
        <v>0.61111111111111116</v>
      </c>
      <c r="E357" s="45">
        <v>0.68055555555555558</v>
      </c>
      <c r="F357" s="51">
        <f t="shared" si="51"/>
        <v>100</v>
      </c>
      <c r="G357" s="49">
        <f t="shared" si="52"/>
        <v>2</v>
      </c>
      <c r="H357" s="43" t="s">
        <v>87</v>
      </c>
      <c r="I357" s="46" t="s">
        <v>31</v>
      </c>
      <c r="J357" s="46" t="s">
        <v>17</v>
      </c>
      <c r="K357" s="47" t="str">
        <f t="shared" si="53"/>
        <v>100</v>
      </c>
    </row>
    <row r="358" spans="1:11" x14ac:dyDescent="0.25">
      <c r="A358" s="66"/>
      <c r="B358" s="43" t="s">
        <v>26</v>
      </c>
      <c r="C358" s="44" t="s">
        <v>95</v>
      </c>
      <c r="D358" s="45">
        <v>0.54166666666666663</v>
      </c>
      <c r="E358" s="45">
        <v>0.61111111111111105</v>
      </c>
      <c r="F358" s="51">
        <f t="shared" si="51"/>
        <v>100</v>
      </c>
      <c r="G358" s="49">
        <f t="shared" si="52"/>
        <v>2</v>
      </c>
      <c r="H358" s="43" t="s">
        <v>87</v>
      </c>
      <c r="I358" s="46" t="s">
        <v>31</v>
      </c>
      <c r="J358" s="46" t="s">
        <v>19</v>
      </c>
      <c r="K358" s="47" t="str">
        <f t="shared" si="53"/>
        <v>100</v>
      </c>
    </row>
    <row r="359" spans="1:11" x14ac:dyDescent="0.25">
      <c r="A359" s="66"/>
      <c r="B359" s="43" t="s">
        <v>26</v>
      </c>
      <c r="C359" s="44" t="s">
        <v>101</v>
      </c>
      <c r="D359" s="45">
        <v>0.43055555555555558</v>
      </c>
      <c r="E359" s="45">
        <v>0.5</v>
      </c>
      <c r="F359" s="51">
        <f t="shared" si="51"/>
        <v>100</v>
      </c>
      <c r="G359" s="49">
        <f t="shared" si="52"/>
        <v>2</v>
      </c>
      <c r="H359" s="43" t="s">
        <v>41</v>
      </c>
      <c r="I359" s="46" t="s">
        <v>31</v>
      </c>
      <c r="J359" s="46" t="s">
        <v>17</v>
      </c>
      <c r="K359" s="47" t="str">
        <f t="shared" si="53"/>
        <v>100</v>
      </c>
    </row>
    <row r="360" spans="1:11" x14ac:dyDescent="0.25">
      <c r="A360" s="66"/>
      <c r="B360" s="43" t="s">
        <v>26</v>
      </c>
      <c r="C360" s="44" t="s">
        <v>101</v>
      </c>
      <c r="D360" s="45">
        <v>0.29166666666666669</v>
      </c>
      <c r="E360" s="45">
        <v>0.3611111111111111</v>
      </c>
      <c r="F360" s="51">
        <f t="shared" si="51"/>
        <v>100</v>
      </c>
      <c r="G360" s="49">
        <f t="shared" si="52"/>
        <v>2</v>
      </c>
      <c r="H360" s="43" t="s">
        <v>41</v>
      </c>
      <c r="I360" s="46" t="s">
        <v>13</v>
      </c>
      <c r="J360" s="46" t="s">
        <v>18</v>
      </c>
      <c r="K360" s="47" t="str">
        <f t="shared" si="53"/>
        <v>100</v>
      </c>
    </row>
    <row r="361" spans="1:11" x14ac:dyDescent="0.25">
      <c r="A361" s="66"/>
      <c r="B361" s="43" t="s">
        <v>26</v>
      </c>
      <c r="C361" s="44" t="s">
        <v>101</v>
      </c>
      <c r="D361" s="45">
        <v>0.3611111111111111</v>
      </c>
      <c r="E361" s="45">
        <v>0.43055555555555558</v>
      </c>
      <c r="F361" s="51">
        <f t="shared" si="51"/>
        <v>100</v>
      </c>
      <c r="G361" s="49">
        <f t="shared" si="52"/>
        <v>2</v>
      </c>
      <c r="H361" s="43" t="s">
        <v>41</v>
      </c>
      <c r="I361" s="46" t="s">
        <v>31</v>
      </c>
      <c r="J361" s="46" t="s">
        <v>19</v>
      </c>
      <c r="K361" s="47" t="str">
        <f t="shared" si="53"/>
        <v>100</v>
      </c>
    </row>
    <row r="362" spans="1:11" x14ac:dyDescent="0.25">
      <c r="A362" s="66"/>
      <c r="B362" s="43" t="s">
        <v>26</v>
      </c>
      <c r="C362" s="44" t="s">
        <v>102</v>
      </c>
      <c r="D362" s="45">
        <v>0.54166666666666663</v>
      </c>
      <c r="E362" s="45">
        <v>0.61111111111111105</v>
      </c>
      <c r="F362" s="51">
        <f t="shared" si="51"/>
        <v>100</v>
      </c>
      <c r="G362" s="49">
        <f t="shared" si="52"/>
        <v>2</v>
      </c>
      <c r="H362" s="43" t="s">
        <v>87</v>
      </c>
      <c r="I362" s="46" t="s">
        <v>31</v>
      </c>
      <c r="J362" s="46" t="s">
        <v>19</v>
      </c>
      <c r="K362" s="47" t="str">
        <f t="shared" si="53"/>
        <v>100</v>
      </c>
    </row>
    <row r="363" spans="1:11" x14ac:dyDescent="0.25">
      <c r="A363" s="66"/>
      <c r="B363" s="43" t="s">
        <v>26</v>
      </c>
      <c r="C363" s="44" t="s">
        <v>102</v>
      </c>
      <c r="D363" s="45">
        <v>0.43055555555555558</v>
      </c>
      <c r="E363" s="45">
        <v>0.5</v>
      </c>
      <c r="F363" s="51">
        <f t="shared" si="51"/>
        <v>100</v>
      </c>
      <c r="G363" s="49">
        <f t="shared" si="52"/>
        <v>2</v>
      </c>
      <c r="H363" s="43" t="s">
        <v>41</v>
      </c>
      <c r="I363" s="46" t="s">
        <v>31</v>
      </c>
      <c r="J363" s="46" t="s">
        <v>17</v>
      </c>
      <c r="K363" s="47" t="str">
        <f t="shared" si="53"/>
        <v>100</v>
      </c>
    </row>
    <row r="364" spans="1:11" x14ac:dyDescent="0.25">
      <c r="A364" s="66"/>
      <c r="B364" s="43" t="s">
        <v>26</v>
      </c>
      <c r="C364" s="44" t="s">
        <v>102</v>
      </c>
      <c r="D364" s="45">
        <v>0.29166666666666669</v>
      </c>
      <c r="E364" s="45">
        <v>0.3611111111111111</v>
      </c>
      <c r="F364" s="51">
        <f t="shared" si="51"/>
        <v>100</v>
      </c>
      <c r="G364" s="49">
        <f t="shared" si="52"/>
        <v>2</v>
      </c>
      <c r="H364" s="43" t="s">
        <v>41</v>
      </c>
      <c r="I364" s="46" t="s">
        <v>13</v>
      </c>
      <c r="J364" s="46" t="s">
        <v>18</v>
      </c>
      <c r="K364" s="47" t="str">
        <f t="shared" si="53"/>
        <v>100</v>
      </c>
    </row>
    <row r="365" spans="1:11" s="14" customFormat="1" x14ac:dyDescent="0.25">
      <c r="A365" s="55"/>
      <c r="B365" s="64" t="s">
        <v>29</v>
      </c>
      <c r="C365" s="55"/>
      <c r="D365" s="55"/>
      <c r="E365" s="55"/>
      <c r="F365" s="55"/>
      <c r="G365" s="56"/>
      <c r="H365" s="55"/>
      <c r="I365" s="64"/>
      <c r="J365" s="55"/>
      <c r="K365" s="55"/>
    </row>
    <row r="366" spans="1:11" s="14" customFormat="1" ht="15.75" x14ac:dyDescent="0.25">
      <c r="A366" s="169">
        <v>17</v>
      </c>
      <c r="B366" s="124" t="s">
        <v>88</v>
      </c>
      <c r="C366" s="133" t="s">
        <v>97</v>
      </c>
      <c r="D366" s="134">
        <v>0.54166666666666663</v>
      </c>
      <c r="E366" s="134">
        <v>0.61111111111111105</v>
      </c>
      <c r="F366" s="135">
        <v>100</v>
      </c>
      <c r="G366" s="136">
        <v>2</v>
      </c>
      <c r="H366" s="137" t="s">
        <v>42</v>
      </c>
      <c r="I366" s="135" t="s">
        <v>31</v>
      </c>
      <c r="J366" s="135" t="s">
        <v>17</v>
      </c>
      <c r="K366" s="138" t="s">
        <v>118</v>
      </c>
    </row>
    <row r="367" spans="1:11" s="14" customFormat="1" ht="15.75" x14ac:dyDescent="0.25">
      <c r="A367" s="63"/>
      <c r="B367" s="119" t="s">
        <v>88</v>
      </c>
      <c r="C367" s="120" t="s">
        <v>97</v>
      </c>
      <c r="D367" s="114">
        <v>0.3263888888888889</v>
      </c>
      <c r="E367" s="114">
        <v>0.39583333333333331</v>
      </c>
      <c r="F367" s="121">
        <v>100</v>
      </c>
      <c r="G367" s="122">
        <v>2</v>
      </c>
      <c r="H367" s="113" t="s">
        <v>42</v>
      </c>
      <c r="I367" s="117" t="s">
        <v>31</v>
      </c>
      <c r="J367" s="117" t="s">
        <v>19</v>
      </c>
      <c r="K367" s="118" t="s">
        <v>118</v>
      </c>
    </row>
    <row r="368" spans="1:11" s="14" customFormat="1" ht="15.75" x14ac:dyDescent="0.25">
      <c r="A368" s="63"/>
      <c r="B368" s="119" t="s">
        <v>88</v>
      </c>
      <c r="C368" s="120" t="s">
        <v>97</v>
      </c>
      <c r="D368" s="114">
        <v>0.43055555555555558</v>
      </c>
      <c r="E368" s="114">
        <v>0.5</v>
      </c>
      <c r="F368" s="121">
        <v>100</v>
      </c>
      <c r="G368" s="122">
        <v>2</v>
      </c>
      <c r="H368" s="113" t="s">
        <v>60</v>
      </c>
      <c r="I368" s="117" t="s">
        <v>31</v>
      </c>
      <c r="J368" s="117" t="s">
        <v>16</v>
      </c>
      <c r="K368" s="118" t="s">
        <v>118</v>
      </c>
    </row>
    <row r="369" spans="1:11" ht="15.75" x14ac:dyDescent="0.25">
      <c r="A369" s="66"/>
      <c r="B369" s="119" t="s">
        <v>88</v>
      </c>
      <c r="C369" s="123" t="s">
        <v>108</v>
      </c>
      <c r="D369" s="114">
        <v>0.54166666666666663</v>
      </c>
      <c r="E369" s="114">
        <v>0.61111111111111105</v>
      </c>
      <c r="F369" s="121">
        <v>100</v>
      </c>
      <c r="G369" s="122">
        <v>2</v>
      </c>
      <c r="H369" s="113" t="s">
        <v>60</v>
      </c>
      <c r="I369" s="117" t="s">
        <v>31</v>
      </c>
      <c r="J369" s="117" t="s">
        <v>14</v>
      </c>
      <c r="K369" s="118" t="s">
        <v>118</v>
      </c>
    </row>
    <row r="370" spans="1:11" ht="15.75" x14ac:dyDescent="0.25">
      <c r="A370" s="66" t="s">
        <v>82</v>
      </c>
      <c r="B370" s="119" t="s">
        <v>88</v>
      </c>
      <c r="C370" s="123" t="s">
        <v>108</v>
      </c>
      <c r="D370" s="114">
        <v>0.43055555555555558</v>
      </c>
      <c r="E370" s="114">
        <v>0.5</v>
      </c>
      <c r="F370" s="121">
        <v>100</v>
      </c>
      <c r="G370" s="122">
        <v>2</v>
      </c>
      <c r="H370" s="113" t="s">
        <v>60</v>
      </c>
      <c r="I370" s="117" t="s">
        <v>31</v>
      </c>
      <c r="J370" s="117" t="s">
        <v>15</v>
      </c>
      <c r="K370" s="118" t="s">
        <v>118</v>
      </c>
    </row>
    <row r="371" spans="1:11" ht="15.75" x14ac:dyDescent="0.25">
      <c r="A371" s="66"/>
      <c r="B371" s="119" t="s">
        <v>88</v>
      </c>
      <c r="C371" s="123" t="s">
        <v>105</v>
      </c>
      <c r="D371" s="114">
        <v>0.43055555555555558</v>
      </c>
      <c r="E371" s="114">
        <v>0.5</v>
      </c>
      <c r="F371" s="117">
        <v>100</v>
      </c>
      <c r="G371" s="122">
        <v>2</v>
      </c>
      <c r="H371" s="113" t="s">
        <v>42</v>
      </c>
      <c r="I371" s="117" t="s">
        <v>31</v>
      </c>
      <c r="J371" s="117" t="s">
        <v>17</v>
      </c>
      <c r="K371" s="118" t="s">
        <v>118</v>
      </c>
    </row>
    <row r="372" spans="1:11" ht="15.75" x14ac:dyDescent="0.25">
      <c r="A372" s="66"/>
      <c r="B372" s="119" t="s">
        <v>88</v>
      </c>
      <c r="C372" s="120" t="s">
        <v>98</v>
      </c>
      <c r="D372" s="114">
        <v>0.3263888888888889</v>
      </c>
      <c r="E372" s="114">
        <v>0.39583333333333331</v>
      </c>
      <c r="F372" s="121">
        <v>100</v>
      </c>
      <c r="G372" s="122">
        <v>2</v>
      </c>
      <c r="H372" s="113" t="s">
        <v>42</v>
      </c>
      <c r="I372" s="117" t="s">
        <v>31</v>
      </c>
      <c r="J372" s="117" t="s">
        <v>19</v>
      </c>
      <c r="K372" s="118" t="s">
        <v>118</v>
      </c>
    </row>
    <row r="373" spans="1:11" ht="15.75" x14ac:dyDescent="0.25">
      <c r="A373" s="66"/>
      <c r="B373" s="119" t="s">
        <v>88</v>
      </c>
      <c r="C373" s="123" t="s">
        <v>98</v>
      </c>
      <c r="D373" s="114">
        <v>0.43055555555555558</v>
      </c>
      <c r="E373" s="114">
        <v>0.5</v>
      </c>
      <c r="F373" s="121">
        <v>100</v>
      </c>
      <c r="G373" s="122">
        <v>2</v>
      </c>
      <c r="H373" s="113" t="s">
        <v>60</v>
      </c>
      <c r="I373" s="117" t="s">
        <v>31</v>
      </c>
      <c r="J373" s="117" t="s">
        <v>16</v>
      </c>
      <c r="K373" s="118" t="s">
        <v>118</v>
      </c>
    </row>
    <row r="374" spans="1:11" ht="15.75" x14ac:dyDescent="0.25">
      <c r="A374" s="66"/>
      <c r="B374" s="119" t="s">
        <v>88</v>
      </c>
      <c r="C374" s="123" t="s">
        <v>107</v>
      </c>
      <c r="D374" s="114">
        <v>0.54166666666666663</v>
      </c>
      <c r="E374" s="114">
        <v>0.61111111111111105</v>
      </c>
      <c r="F374" s="121">
        <v>100</v>
      </c>
      <c r="G374" s="122">
        <v>2</v>
      </c>
      <c r="H374" s="113" t="s">
        <v>60</v>
      </c>
      <c r="I374" s="117" t="s">
        <v>31</v>
      </c>
      <c r="J374" s="117" t="s">
        <v>14</v>
      </c>
      <c r="K374" s="118" t="s">
        <v>118</v>
      </c>
    </row>
    <row r="375" spans="1:11" ht="15.75" x14ac:dyDescent="0.25">
      <c r="A375" s="66"/>
      <c r="B375" s="119" t="s">
        <v>88</v>
      </c>
      <c r="C375" s="123" t="s">
        <v>107</v>
      </c>
      <c r="D375" s="114">
        <v>0.43055555555555558</v>
      </c>
      <c r="E375" s="114">
        <v>0.5</v>
      </c>
      <c r="F375" s="121">
        <v>100</v>
      </c>
      <c r="G375" s="122">
        <v>2</v>
      </c>
      <c r="H375" s="113" t="s">
        <v>60</v>
      </c>
      <c r="I375" s="117" t="s">
        <v>31</v>
      </c>
      <c r="J375" s="117" t="s">
        <v>15</v>
      </c>
      <c r="K375" s="118" t="s">
        <v>118</v>
      </c>
    </row>
    <row r="376" spans="1:11" ht="15.75" x14ac:dyDescent="0.25">
      <c r="A376" s="66"/>
      <c r="B376" s="119" t="s">
        <v>88</v>
      </c>
      <c r="C376" s="123" t="s">
        <v>95</v>
      </c>
      <c r="D376" s="114">
        <v>0.54166666666666663</v>
      </c>
      <c r="E376" s="114">
        <v>0.61111111111111105</v>
      </c>
      <c r="F376" s="115">
        <v>100</v>
      </c>
      <c r="G376" s="116">
        <v>2</v>
      </c>
      <c r="H376" s="113" t="s">
        <v>50</v>
      </c>
      <c r="I376" s="117" t="s">
        <v>31</v>
      </c>
      <c r="J376" s="117" t="s">
        <v>15</v>
      </c>
      <c r="K376" s="118" t="s">
        <v>118</v>
      </c>
    </row>
    <row r="377" spans="1:11" ht="15.75" x14ac:dyDescent="0.25">
      <c r="A377" s="66"/>
      <c r="B377" s="119" t="s">
        <v>88</v>
      </c>
      <c r="C377" s="123" t="s">
        <v>95</v>
      </c>
      <c r="D377" s="114">
        <v>0.43055555555555558</v>
      </c>
      <c r="E377" s="114">
        <v>0.5</v>
      </c>
      <c r="F377" s="115">
        <v>100</v>
      </c>
      <c r="G377" s="116">
        <v>2</v>
      </c>
      <c r="H377" s="113" t="s">
        <v>50</v>
      </c>
      <c r="I377" s="117" t="s">
        <v>31</v>
      </c>
      <c r="J377" s="117" t="s">
        <v>16</v>
      </c>
      <c r="K377" s="118" t="s">
        <v>118</v>
      </c>
    </row>
    <row r="378" spans="1:11" ht="15.75" x14ac:dyDescent="0.25">
      <c r="A378" s="66"/>
      <c r="B378" s="119" t="s">
        <v>88</v>
      </c>
      <c r="C378" s="123" t="s">
        <v>95</v>
      </c>
      <c r="D378" s="114">
        <v>0.3611111111111111</v>
      </c>
      <c r="E378" s="114">
        <v>0.43055555555555558</v>
      </c>
      <c r="F378" s="115">
        <v>100</v>
      </c>
      <c r="G378" s="116">
        <v>2</v>
      </c>
      <c r="H378" s="113" t="s">
        <v>50</v>
      </c>
      <c r="I378" s="117" t="s">
        <v>31</v>
      </c>
      <c r="J378" s="117" t="s">
        <v>14</v>
      </c>
      <c r="K378" s="118" t="s">
        <v>118</v>
      </c>
    </row>
    <row r="379" spans="1:11" ht="15.75" x14ac:dyDescent="0.25">
      <c r="A379" s="66"/>
      <c r="B379" s="129" t="s">
        <v>88</v>
      </c>
      <c r="C379" s="132" t="s">
        <v>99</v>
      </c>
      <c r="D379" s="126">
        <v>0.43055555555555558</v>
      </c>
      <c r="E379" s="126">
        <v>0.5</v>
      </c>
      <c r="F379" s="130">
        <v>100</v>
      </c>
      <c r="G379" s="131">
        <v>2</v>
      </c>
      <c r="H379" s="125" t="s">
        <v>60</v>
      </c>
      <c r="I379" s="127" t="s">
        <v>31</v>
      </c>
      <c r="J379" s="127" t="s">
        <v>16</v>
      </c>
      <c r="K379" s="128" t="s">
        <v>118</v>
      </c>
    </row>
    <row r="380" spans="1:11" ht="15.75" x14ac:dyDescent="0.25">
      <c r="A380" s="66"/>
      <c r="B380" s="129" t="s">
        <v>88</v>
      </c>
      <c r="C380" s="132" t="s">
        <v>102</v>
      </c>
      <c r="D380" s="126">
        <v>0.54166666666666663</v>
      </c>
      <c r="E380" s="126">
        <v>0.61111111111111105</v>
      </c>
      <c r="F380" s="130">
        <v>100</v>
      </c>
      <c r="G380" s="131">
        <v>2</v>
      </c>
      <c r="H380" s="125" t="s">
        <v>60</v>
      </c>
      <c r="I380" s="127" t="s">
        <v>31</v>
      </c>
      <c r="J380" s="127" t="s">
        <v>14</v>
      </c>
      <c r="K380" s="128" t="s">
        <v>118</v>
      </c>
    </row>
    <row r="381" spans="1:11" ht="15.75" x14ac:dyDescent="0.25">
      <c r="A381" s="66"/>
      <c r="B381" s="129" t="s">
        <v>88</v>
      </c>
      <c r="C381" s="132" t="s">
        <v>102</v>
      </c>
      <c r="D381" s="126">
        <v>0.43055555555555558</v>
      </c>
      <c r="E381" s="126">
        <v>0.5</v>
      </c>
      <c r="F381" s="130">
        <v>100</v>
      </c>
      <c r="G381" s="131">
        <v>2</v>
      </c>
      <c r="H381" s="125" t="s">
        <v>60</v>
      </c>
      <c r="I381" s="127" t="s">
        <v>31</v>
      </c>
      <c r="J381" s="127" t="s">
        <v>15</v>
      </c>
      <c r="K381" s="128" t="s">
        <v>118</v>
      </c>
    </row>
    <row r="382" spans="1:11" s="14" customFormat="1" x14ac:dyDescent="0.25">
      <c r="A382" s="55"/>
      <c r="B382" s="64"/>
      <c r="C382" s="55"/>
      <c r="D382" s="55"/>
      <c r="E382" s="55"/>
      <c r="F382" s="55"/>
      <c r="G382" s="56"/>
      <c r="H382" s="55"/>
      <c r="I382" s="64"/>
      <c r="J382" s="55"/>
      <c r="K382" s="75"/>
    </row>
    <row r="383" spans="1:11" x14ac:dyDescent="0.25">
      <c r="A383" s="169">
        <v>18</v>
      </c>
      <c r="B383" s="16" t="s">
        <v>68</v>
      </c>
      <c r="C383" s="44" t="s">
        <v>97</v>
      </c>
      <c r="D383" s="45">
        <v>0.54166666666666663</v>
      </c>
      <c r="E383" s="45">
        <v>0.61111111111111105</v>
      </c>
      <c r="F383" s="17">
        <f t="shared" ref="F383" si="54">VALUE(K383)</f>
        <v>100</v>
      </c>
      <c r="G383" s="32">
        <f t="shared" ref="G383" si="55">IF(F383&gt;=300,6,IF(F383&gt;=250,5,IF(F383&gt;=200,4,IF(F383&gt;=150,3,IF(F383&gt;=100,2,IF(F383&gt;=50,1,0))))))</f>
        <v>2</v>
      </c>
      <c r="H383" s="43" t="s">
        <v>52</v>
      </c>
      <c r="I383" s="46" t="s">
        <v>31</v>
      </c>
      <c r="J383" s="46" t="s">
        <v>17</v>
      </c>
      <c r="K383" s="47" t="str">
        <f t="shared" ref="K383" si="56">TEXT(E383-D383,"[mm]")</f>
        <v>100</v>
      </c>
    </row>
    <row r="384" spans="1:11" x14ac:dyDescent="0.25">
      <c r="A384" s="66"/>
      <c r="B384" s="16" t="s">
        <v>68</v>
      </c>
      <c r="C384" s="44" t="s">
        <v>97</v>
      </c>
      <c r="D384" s="45">
        <v>0.61111111111111105</v>
      </c>
      <c r="E384" s="45">
        <v>0.68055555555555547</v>
      </c>
      <c r="F384" s="51">
        <f>VALUE(K384)</f>
        <v>100</v>
      </c>
      <c r="G384" s="32">
        <v>2</v>
      </c>
      <c r="H384" s="43" t="s">
        <v>52</v>
      </c>
      <c r="I384" s="46" t="s">
        <v>31</v>
      </c>
      <c r="J384" s="46" t="s">
        <v>19</v>
      </c>
      <c r="K384" s="48">
        <v>100</v>
      </c>
    </row>
    <row r="385" spans="1:15" x14ac:dyDescent="0.25">
      <c r="A385" s="66"/>
      <c r="B385" s="16" t="s">
        <v>68</v>
      </c>
      <c r="C385" s="44" t="s">
        <v>105</v>
      </c>
      <c r="D385" s="45">
        <v>0.43055555555555558</v>
      </c>
      <c r="E385" s="45">
        <v>0.5</v>
      </c>
      <c r="F385" s="17">
        <f>VALUE(K385)</f>
        <v>100</v>
      </c>
      <c r="G385" s="32">
        <v>2</v>
      </c>
      <c r="H385" s="43" t="s">
        <v>52</v>
      </c>
      <c r="I385" s="46" t="s">
        <v>31</v>
      </c>
      <c r="J385" s="46" t="s">
        <v>18</v>
      </c>
      <c r="K385" s="47" t="str">
        <f>TEXT(E385-D385,"[mm]")</f>
        <v>100</v>
      </c>
    </row>
    <row r="386" spans="1:15" x14ac:dyDescent="0.25">
      <c r="A386" s="66"/>
      <c r="B386" s="16" t="s">
        <v>68</v>
      </c>
      <c r="C386" s="44" t="s">
        <v>98</v>
      </c>
      <c r="D386" s="45">
        <v>0.54166666666666663</v>
      </c>
      <c r="E386" s="45">
        <v>0.61111111111111105</v>
      </c>
      <c r="F386" s="51">
        <f>VALUE(K386)</f>
        <v>100</v>
      </c>
      <c r="G386" s="32">
        <f>IF(F386&gt;=300,6,IF(F386&gt;=250,5,IF(F386&gt;=200,4,IF(F386&gt;=150,3,IF(F386&gt;=100,2,IF(F386&gt;=50,1,0))))))</f>
        <v>2</v>
      </c>
      <c r="H386" s="43" t="s">
        <v>52</v>
      </c>
      <c r="I386" s="46" t="s">
        <v>31</v>
      </c>
      <c r="J386" s="46" t="s">
        <v>17</v>
      </c>
      <c r="K386" s="47" t="str">
        <f>TEXT(E386-D386,"[mm]")</f>
        <v>100</v>
      </c>
    </row>
    <row r="387" spans="1:15" x14ac:dyDescent="0.25">
      <c r="A387" s="66"/>
      <c r="B387" s="16" t="s">
        <v>68</v>
      </c>
      <c r="C387" s="44" t="s">
        <v>98</v>
      </c>
      <c r="D387" s="45">
        <v>0.61111111111111105</v>
      </c>
      <c r="E387" s="45">
        <v>0.68055555555555547</v>
      </c>
      <c r="F387" s="51">
        <f>VALUE(K387)</f>
        <v>100</v>
      </c>
      <c r="G387" s="32">
        <v>2</v>
      </c>
      <c r="H387" s="43" t="s">
        <v>52</v>
      </c>
      <c r="I387" s="46" t="s">
        <v>31</v>
      </c>
      <c r="J387" s="46" t="s">
        <v>19</v>
      </c>
      <c r="K387" s="48">
        <v>100</v>
      </c>
    </row>
    <row r="388" spans="1:15" x14ac:dyDescent="0.25">
      <c r="A388" s="71"/>
      <c r="B388" s="16" t="s">
        <v>68</v>
      </c>
      <c r="C388" s="44" t="s">
        <v>99</v>
      </c>
      <c r="D388" s="45">
        <v>0.43055555555555558</v>
      </c>
      <c r="E388" s="45">
        <v>0.5</v>
      </c>
      <c r="F388" s="51">
        <f>VALUE(K388)</f>
        <v>100</v>
      </c>
      <c r="G388" s="32">
        <v>2</v>
      </c>
      <c r="H388" s="43" t="s">
        <v>52</v>
      </c>
      <c r="I388" s="46" t="s">
        <v>31</v>
      </c>
      <c r="J388" s="46" t="s">
        <v>17</v>
      </c>
      <c r="K388" s="47" t="str">
        <f>TEXT(E388-D388,"[mm]")</f>
        <v>100</v>
      </c>
    </row>
    <row r="389" spans="1:15" x14ac:dyDescent="0.25">
      <c r="A389" s="55"/>
      <c r="B389" s="54"/>
      <c r="C389" s="81"/>
      <c r="D389" s="81"/>
      <c r="E389" s="81"/>
      <c r="F389" s="55"/>
      <c r="G389" s="56"/>
      <c r="H389" s="54"/>
      <c r="I389" s="54"/>
      <c r="J389" s="81"/>
      <c r="K389" s="75"/>
    </row>
    <row r="390" spans="1:15" x14ac:dyDescent="0.25">
      <c r="A390" s="171">
        <v>19</v>
      </c>
      <c r="B390" s="88" t="s">
        <v>103</v>
      </c>
      <c r="C390" s="24" t="s">
        <v>109</v>
      </c>
      <c r="D390" s="25">
        <v>0.54166666666666663</v>
      </c>
      <c r="E390" s="25">
        <v>0.68055555555555547</v>
      </c>
      <c r="F390" s="17">
        <f t="shared" ref="F390:F406" si="57">VALUE(K390)</f>
        <v>200</v>
      </c>
      <c r="G390" s="32">
        <f t="shared" ref="G390:G406" si="58">IF(F390&gt;=300,6,IF(F390&gt;=250,5,IF(F390&gt;=200,4,IF(F390&gt;=150,3,IF(F390&gt;=100,2,IF(F390&gt;=50,1,0))))))</f>
        <v>4</v>
      </c>
      <c r="H390" s="27" t="s">
        <v>53</v>
      </c>
      <c r="I390" s="26" t="s">
        <v>31</v>
      </c>
      <c r="J390" s="26" t="s">
        <v>16</v>
      </c>
      <c r="K390" s="47" t="str">
        <f t="shared" ref="K390:K406" si="59">TEXT(E390-D390,"[mm]")</f>
        <v>200</v>
      </c>
    </row>
    <row r="391" spans="1:15" x14ac:dyDescent="0.25">
      <c r="B391" s="88" t="s">
        <v>103</v>
      </c>
      <c r="C391" s="44" t="s">
        <v>104</v>
      </c>
      <c r="D391" s="25">
        <v>0.54166666666666663</v>
      </c>
      <c r="E391" s="45">
        <v>0.61111111111111105</v>
      </c>
      <c r="F391" s="17">
        <f t="shared" si="57"/>
        <v>100</v>
      </c>
      <c r="G391" s="32">
        <f t="shared" si="58"/>
        <v>2</v>
      </c>
      <c r="H391" s="43" t="s">
        <v>66</v>
      </c>
      <c r="I391" s="46" t="s">
        <v>31</v>
      </c>
      <c r="J391" s="46" t="s">
        <v>17</v>
      </c>
      <c r="K391" s="47" t="str">
        <f t="shared" si="59"/>
        <v>100</v>
      </c>
    </row>
    <row r="392" spans="1:15" x14ac:dyDescent="0.25">
      <c r="B392" s="88" t="s">
        <v>103</v>
      </c>
      <c r="C392" s="24" t="s">
        <v>97</v>
      </c>
      <c r="D392" s="25">
        <v>0.3263888888888889</v>
      </c>
      <c r="E392" s="25">
        <v>0.46527777777777773</v>
      </c>
      <c r="F392" s="17">
        <f t="shared" si="57"/>
        <v>200</v>
      </c>
      <c r="G392" s="32">
        <f t="shared" si="58"/>
        <v>4</v>
      </c>
      <c r="H392" s="27" t="s">
        <v>53</v>
      </c>
      <c r="I392" s="26" t="s">
        <v>31</v>
      </c>
      <c r="J392" s="26" t="s">
        <v>15</v>
      </c>
      <c r="K392" s="47" t="str">
        <f t="shared" si="59"/>
        <v>200</v>
      </c>
    </row>
    <row r="393" spans="1:15" x14ac:dyDescent="0.25">
      <c r="B393" s="88" t="s">
        <v>103</v>
      </c>
      <c r="C393" s="44" t="s">
        <v>108</v>
      </c>
      <c r="D393" s="45">
        <v>0.3263888888888889</v>
      </c>
      <c r="E393" s="45">
        <v>0.39583333333333331</v>
      </c>
      <c r="F393" s="51">
        <f t="shared" si="57"/>
        <v>100</v>
      </c>
      <c r="G393" s="49">
        <f t="shared" si="58"/>
        <v>2</v>
      </c>
      <c r="H393" s="43" t="s">
        <v>66</v>
      </c>
      <c r="I393" s="46" t="s">
        <v>31</v>
      </c>
      <c r="J393" s="46" t="s">
        <v>19</v>
      </c>
      <c r="K393" s="47" t="str">
        <f t="shared" si="59"/>
        <v>100</v>
      </c>
    </row>
    <row r="394" spans="1:15" x14ac:dyDescent="0.25">
      <c r="B394" s="70" t="s">
        <v>103</v>
      </c>
      <c r="C394" s="44" t="s">
        <v>110</v>
      </c>
      <c r="D394" s="45">
        <v>0.43055555555555558</v>
      </c>
      <c r="E394" s="45">
        <v>0.5</v>
      </c>
      <c r="F394" s="51">
        <f t="shared" si="57"/>
        <v>100</v>
      </c>
      <c r="G394" s="49">
        <f t="shared" si="58"/>
        <v>2</v>
      </c>
      <c r="H394" s="43" t="s">
        <v>66</v>
      </c>
      <c r="I394" s="46" t="s">
        <v>31</v>
      </c>
      <c r="J394" s="46" t="s">
        <v>18</v>
      </c>
      <c r="K394" s="47" t="str">
        <f t="shared" si="59"/>
        <v>100</v>
      </c>
    </row>
    <row r="395" spans="1:15" x14ac:dyDescent="0.25">
      <c r="B395" s="70" t="s">
        <v>103</v>
      </c>
      <c r="C395" s="24" t="s">
        <v>105</v>
      </c>
      <c r="D395" s="25">
        <v>0.54166666666666663</v>
      </c>
      <c r="E395" s="25">
        <v>0.68055555555555547</v>
      </c>
      <c r="F395" s="17">
        <f t="shared" si="57"/>
        <v>200</v>
      </c>
      <c r="G395" s="32">
        <f t="shared" si="58"/>
        <v>4</v>
      </c>
      <c r="H395" s="27" t="s">
        <v>53</v>
      </c>
      <c r="I395" s="26" t="s">
        <v>31</v>
      </c>
      <c r="J395" s="26" t="s">
        <v>16</v>
      </c>
      <c r="K395" s="47" t="str">
        <f t="shared" si="59"/>
        <v>200</v>
      </c>
    </row>
    <row r="396" spans="1:15" x14ac:dyDescent="0.25">
      <c r="B396" s="70" t="s">
        <v>103</v>
      </c>
      <c r="C396" s="44" t="s">
        <v>98</v>
      </c>
      <c r="D396" s="45">
        <v>0.43055555555555558</v>
      </c>
      <c r="E396" s="45">
        <v>0.5</v>
      </c>
      <c r="F396" s="17">
        <f t="shared" si="57"/>
        <v>100</v>
      </c>
      <c r="G396" s="32">
        <f t="shared" si="58"/>
        <v>2</v>
      </c>
      <c r="H396" s="43" t="s">
        <v>66</v>
      </c>
      <c r="I396" s="46" t="s">
        <v>31</v>
      </c>
      <c r="J396" s="46" t="s">
        <v>17</v>
      </c>
      <c r="K396" s="47" t="str">
        <f t="shared" si="59"/>
        <v>100</v>
      </c>
    </row>
    <row r="397" spans="1:15" x14ac:dyDescent="0.25">
      <c r="B397" s="70" t="s">
        <v>103</v>
      </c>
      <c r="C397" s="24" t="s">
        <v>98</v>
      </c>
      <c r="D397" s="25">
        <v>0.3263888888888889</v>
      </c>
      <c r="E397" s="25">
        <v>0.46527777777777773</v>
      </c>
      <c r="F397" s="17">
        <f t="shared" si="57"/>
        <v>200</v>
      </c>
      <c r="G397" s="32">
        <f t="shared" si="58"/>
        <v>4</v>
      </c>
      <c r="H397" s="27" t="s">
        <v>53</v>
      </c>
      <c r="I397" s="26" t="s">
        <v>31</v>
      </c>
      <c r="J397" s="26" t="s">
        <v>15</v>
      </c>
      <c r="K397" s="47" t="str">
        <f t="shared" si="59"/>
        <v>200</v>
      </c>
    </row>
    <row r="398" spans="1:15" x14ac:dyDescent="0.25">
      <c r="B398" s="70" t="s">
        <v>103</v>
      </c>
      <c r="C398" s="44" t="s">
        <v>107</v>
      </c>
      <c r="D398" s="45">
        <v>0.43055555555555558</v>
      </c>
      <c r="E398" s="45">
        <v>0.5</v>
      </c>
      <c r="F398" s="51">
        <f t="shared" si="57"/>
        <v>100</v>
      </c>
      <c r="G398" s="49">
        <f t="shared" si="58"/>
        <v>2</v>
      </c>
      <c r="H398" s="43" t="s">
        <v>66</v>
      </c>
      <c r="I398" s="46" t="s">
        <v>31</v>
      </c>
      <c r="J398" s="46" t="s">
        <v>18</v>
      </c>
      <c r="K398" s="47" t="str">
        <f t="shared" si="59"/>
        <v>100</v>
      </c>
      <c r="O398" s="5" t="s">
        <v>27</v>
      </c>
    </row>
    <row r="399" spans="1:15" x14ac:dyDescent="0.25">
      <c r="B399" s="70" t="s">
        <v>103</v>
      </c>
      <c r="C399" s="44" t="s">
        <v>107</v>
      </c>
      <c r="D399" s="45">
        <v>0.3263888888888889</v>
      </c>
      <c r="E399" s="45">
        <v>0.39583333333333331</v>
      </c>
      <c r="F399" s="51">
        <f t="shared" si="57"/>
        <v>100</v>
      </c>
      <c r="G399" s="49">
        <f t="shared" si="58"/>
        <v>2</v>
      </c>
      <c r="H399" s="43" t="s">
        <v>66</v>
      </c>
      <c r="I399" s="46" t="s">
        <v>31</v>
      </c>
      <c r="J399" s="46" t="s">
        <v>19</v>
      </c>
      <c r="K399" s="47" t="str">
        <f t="shared" si="59"/>
        <v>100</v>
      </c>
    </row>
    <row r="400" spans="1:15" x14ac:dyDescent="0.25">
      <c r="B400" s="70" t="s">
        <v>103</v>
      </c>
      <c r="C400" s="44" t="s">
        <v>95</v>
      </c>
      <c r="D400" s="45">
        <v>0.43055555555555558</v>
      </c>
      <c r="E400" s="45">
        <v>0.5</v>
      </c>
      <c r="F400" s="17">
        <f t="shared" si="57"/>
        <v>100</v>
      </c>
      <c r="G400" s="32">
        <f t="shared" si="58"/>
        <v>2</v>
      </c>
      <c r="H400" s="43" t="s">
        <v>51</v>
      </c>
      <c r="I400" s="46" t="s">
        <v>31</v>
      </c>
      <c r="J400" s="46" t="s">
        <v>17</v>
      </c>
      <c r="K400" s="47" t="str">
        <f t="shared" si="59"/>
        <v>100</v>
      </c>
    </row>
    <row r="401" spans="1:11" x14ac:dyDescent="0.25">
      <c r="B401" s="70" t="s">
        <v>103</v>
      </c>
      <c r="C401" s="44" t="s">
        <v>95</v>
      </c>
      <c r="D401" s="45">
        <v>0.3263888888888889</v>
      </c>
      <c r="E401" s="45">
        <v>0.39583333333333331</v>
      </c>
      <c r="F401" s="51">
        <f t="shared" si="57"/>
        <v>100</v>
      </c>
      <c r="G401" s="49">
        <f t="shared" si="58"/>
        <v>2</v>
      </c>
      <c r="H401" s="43" t="s">
        <v>51</v>
      </c>
      <c r="I401" s="46" t="s">
        <v>31</v>
      </c>
      <c r="J401" s="46" t="s">
        <v>18</v>
      </c>
      <c r="K401" s="47" t="str">
        <f t="shared" si="59"/>
        <v>100</v>
      </c>
    </row>
    <row r="402" spans="1:11" x14ac:dyDescent="0.25">
      <c r="B402" s="70" t="s">
        <v>103</v>
      </c>
      <c r="C402" s="44" t="s">
        <v>95</v>
      </c>
      <c r="D402" s="45">
        <v>0.61111111111111105</v>
      </c>
      <c r="E402" s="45">
        <v>0.68055555555555547</v>
      </c>
      <c r="F402" s="51">
        <f t="shared" si="57"/>
        <v>100</v>
      </c>
      <c r="G402" s="49">
        <f t="shared" si="58"/>
        <v>2</v>
      </c>
      <c r="H402" s="43" t="s">
        <v>51</v>
      </c>
      <c r="I402" s="46" t="s">
        <v>31</v>
      </c>
      <c r="J402" s="46" t="s">
        <v>19</v>
      </c>
      <c r="K402" s="47" t="str">
        <f t="shared" si="59"/>
        <v>100</v>
      </c>
    </row>
    <row r="403" spans="1:11" x14ac:dyDescent="0.25">
      <c r="B403" s="70" t="s">
        <v>103</v>
      </c>
      <c r="C403" s="24" t="s">
        <v>106</v>
      </c>
      <c r="D403" s="25">
        <v>0.54166666666666663</v>
      </c>
      <c r="E403" s="25">
        <v>0.68055555555555547</v>
      </c>
      <c r="F403" s="17">
        <f t="shared" si="57"/>
        <v>200</v>
      </c>
      <c r="G403" s="32">
        <f t="shared" si="58"/>
        <v>4</v>
      </c>
      <c r="H403" s="27" t="s">
        <v>53</v>
      </c>
      <c r="I403" s="26" t="s">
        <v>31</v>
      </c>
      <c r="J403" s="26" t="s">
        <v>16</v>
      </c>
      <c r="K403" s="47" t="str">
        <f t="shared" si="59"/>
        <v>200</v>
      </c>
    </row>
    <row r="404" spans="1:11" x14ac:dyDescent="0.25">
      <c r="B404" s="70" t="s">
        <v>103</v>
      </c>
      <c r="C404" s="44" t="s">
        <v>99</v>
      </c>
      <c r="D404" s="25">
        <v>0.54166666666666663</v>
      </c>
      <c r="E404" s="45">
        <v>0.61111111111111105</v>
      </c>
      <c r="F404" s="17">
        <f t="shared" si="57"/>
        <v>100</v>
      </c>
      <c r="G404" s="32">
        <f t="shared" si="58"/>
        <v>2</v>
      </c>
      <c r="H404" s="43" t="s">
        <v>66</v>
      </c>
      <c r="I404" s="46" t="s">
        <v>31</v>
      </c>
      <c r="J404" s="46" t="s">
        <v>17</v>
      </c>
      <c r="K404" s="47" t="str">
        <f t="shared" si="59"/>
        <v>100</v>
      </c>
    </row>
    <row r="405" spans="1:11" x14ac:dyDescent="0.25">
      <c r="B405" s="70" t="s">
        <v>103</v>
      </c>
      <c r="C405" s="24" t="s">
        <v>99</v>
      </c>
      <c r="D405" s="25">
        <v>0.3263888888888889</v>
      </c>
      <c r="E405" s="25">
        <v>0.46527777777777773</v>
      </c>
      <c r="F405" s="17">
        <f t="shared" si="57"/>
        <v>200</v>
      </c>
      <c r="G405" s="32">
        <f t="shared" si="58"/>
        <v>4</v>
      </c>
      <c r="H405" s="27" t="s">
        <v>53</v>
      </c>
      <c r="I405" s="26" t="s">
        <v>31</v>
      </c>
      <c r="J405" s="26" t="s">
        <v>15</v>
      </c>
      <c r="K405" s="47" t="str">
        <f t="shared" si="59"/>
        <v>200</v>
      </c>
    </row>
    <row r="406" spans="1:11" x14ac:dyDescent="0.25">
      <c r="A406" s="172"/>
      <c r="B406" s="70" t="s">
        <v>103</v>
      </c>
      <c r="C406" s="44" t="s">
        <v>111</v>
      </c>
      <c r="D406" s="45">
        <v>0.43055555555555558</v>
      </c>
      <c r="E406" s="45">
        <v>0.5</v>
      </c>
      <c r="F406" s="51">
        <f t="shared" si="57"/>
        <v>100</v>
      </c>
      <c r="G406" s="49">
        <f t="shared" si="58"/>
        <v>2</v>
      </c>
      <c r="H406" s="43" t="s">
        <v>66</v>
      </c>
      <c r="I406" s="46" t="s">
        <v>31</v>
      </c>
      <c r="J406" s="46" t="s">
        <v>18</v>
      </c>
      <c r="K406" s="47" t="str">
        <f t="shared" si="59"/>
        <v>100</v>
      </c>
    </row>
    <row r="407" spans="1:11" x14ac:dyDescent="0.25">
      <c r="B407" s="82"/>
      <c r="C407" s="83"/>
      <c r="D407" s="84"/>
      <c r="E407" s="84"/>
      <c r="F407" s="85"/>
      <c r="G407" s="86"/>
      <c r="H407"/>
      <c r="I407" s="10"/>
      <c r="J407" s="10"/>
      <c r="K407" s="87"/>
    </row>
    <row r="408" spans="1:11" x14ac:dyDescent="0.25">
      <c r="B408" s="82"/>
      <c r="C408" s="83"/>
      <c r="D408" s="84"/>
      <c r="E408" s="84"/>
      <c r="F408" s="85"/>
      <c r="G408" s="86"/>
      <c r="H408"/>
      <c r="I408" s="10"/>
      <c r="J408" s="10"/>
      <c r="K408" s="87"/>
    </row>
    <row r="409" spans="1:11" x14ac:dyDescent="0.25">
      <c r="B409" s="82"/>
      <c r="C409" s="83"/>
      <c r="D409" s="84"/>
      <c r="E409" s="84"/>
      <c r="F409" s="85"/>
      <c r="G409" s="86"/>
      <c r="H409"/>
      <c r="I409" s="10"/>
      <c r="J409" s="10"/>
      <c r="K409" s="87"/>
    </row>
    <row r="410" spans="1:11" x14ac:dyDescent="0.25">
      <c r="H410" s="7" t="s">
        <v>132</v>
      </c>
    </row>
    <row r="411" spans="1:11" x14ac:dyDescent="0.25">
      <c r="H411" s="7" t="s">
        <v>78</v>
      </c>
    </row>
    <row r="413" spans="1:11" x14ac:dyDescent="0.25">
      <c r="D413" s="7" t="s">
        <v>82</v>
      </c>
    </row>
    <row r="415" spans="1:11" x14ac:dyDescent="0.25">
      <c r="H415" s="7" t="s">
        <v>79</v>
      </c>
    </row>
    <row r="416" spans="1:11" x14ac:dyDescent="0.25">
      <c r="H416" s="7" t="s">
        <v>92</v>
      </c>
    </row>
    <row r="417" spans="3:3" x14ac:dyDescent="0.25">
      <c r="C417" s="7" t="s">
        <v>83</v>
      </c>
    </row>
  </sheetData>
  <sortState ref="C168:K185">
    <sortCondition ref="C168:C185"/>
  </sortState>
  <mergeCells count="14">
    <mergeCell ref="A82:A103"/>
    <mergeCell ref="K5:K6"/>
    <mergeCell ref="A1:J1"/>
    <mergeCell ref="A2:J2"/>
    <mergeCell ref="A3:J3"/>
    <mergeCell ref="A5:A6"/>
    <mergeCell ref="B5:B6"/>
    <mergeCell ref="C5:C6"/>
    <mergeCell ref="D5:E5"/>
    <mergeCell ref="F5:F6"/>
    <mergeCell ref="G5:G6"/>
    <mergeCell ref="H5:H6"/>
    <mergeCell ref="I5:I6"/>
    <mergeCell ref="J5:J6"/>
  </mergeCells>
  <phoneticPr fontId="6" type="noConversion"/>
  <conditionalFormatting sqref="I1:I7 I75 I186 I303 I328">
    <cfRule type="containsText" dxfId="17" priority="72" operator="containsText" text="Prakt.">
      <formula>NOT(ISERROR(SEARCH("Prakt.",I1)))</formula>
    </cfRule>
  </conditionalFormatting>
  <conditionalFormatting sqref="I39 I219 U304:U308 I382">
    <cfRule type="containsText" dxfId="16" priority="29" operator="containsText" text="Prakt.">
      <formula>NOT(ISERROR(SEARCH("Prakt.",I39)))</formula>
    </cfRule>
  </conditionalFormatting>
  <conditionalFormatting sqref="I141 I193 I349">
    <cfRule type="containsText" dxfId="15" priority="70" operator="containsText" text="Prakt.">
      <formula>NOT(ISERROR(SEARCH("Prakt.",I141)))</formula>
    </cfRule>
  </conditionalFormatting>
  <conditionalFormatting sqref="I167 I253 I410:I1048576">
    <cfRule type="containsText" dxfId="14" priority="71" operator="containsText" text="Prakt.">
      <formula>NOT(ISERROR(SEARCH("Prakt.",I167)))</formula>
    </cfRule>
  </conditionalFormatting>
  <conditionalFormatting sqref="I365">
    <cfRule type="containsText" dxfId="13" priority="30" operator="containsText" text="Prakt.">
      <formula>NOT(ISERROR(SEARCH("Prakt.",I365)))</formula>
    </cfRule>
  </conditionalFormatting>
  <conditionalFormatting sqref="U220:U232">
    <cfRule type="containsText" dxfId="12" priority="12" operator="containsText" text="Prakt.">
      <formula>NOT(ISERROR(SEARCH("Prakt.",U220)))</formula>
    </cfRule>
  </conditionalFormatting>
  <conditionalFormatting sqref="U238">
    <cfRule type="containsText" dxfId="11" priority="13" operator="containsText" text="Prakt.">
      <formula>NOT(ISERROR(SEARCH("Prakt.",U238)))</formula>
    </cfRule>
  </conditionalFormatting>
  <conditionalFormatting sqref="I16:I21">
    <cfRule type="containsText" dxfId="10" priority="9" operator="containsText" text="Prakt.">
      <formula>NOT(ISERROR(SEARCH("Prakt.",I16)))</formula>
    </cfRule>
  </conditionalFormatting>
  <conditionalFormatting sqref="I23:I28">
    <cfRule type="containsText" dxfId="9" priority="8" operator="containsText" text="Prakt.">
      <formula>NOT(ISERROR(SEARCH("Prakt.",I23)))</formula>
    </cfRule>
  </conditionalFormatting>
  <conditionalFormatting sqref="I86:I93">
    <cfRule type="containsText" dxfId="8" priority="7" operator="containsText" text="Prakt.">
      <formula>NOT(ISERROR(SEARCH("Prakt.",I86)))</formula>
    </cfRule>
  </conditionalFormatting>
  <conditionalFormatting sqref="I304:I327">
    <cfRule type="containsText" dxfId="7" priority="6" operator="containsText" text="Prakt.">
      <formula>NOT(ISERROR(SEARCH("Prakt.",I304)))</formula>
    </cfRule>
  </conditionalFormatting>
  <conditionalFormatting sqref="I384:I385">
    <cfRule type="containsText" dxfId="6" priority="5" operator="containsText" text="Prakt.">
      <formula>NOT(ISERROR(SEARCH("Prakt.",I384)))</formula>
    </cfRule>
  </conditionalFormatting>
  <conditionalFormatting sqref="I387:I388">
    <cfRule type="containsText" dxfId="5" priority="4" operator="containsText" text="Prakt.">
      <formula>NOT(ISERROR(SEARCH("Prakt.",I387)))</formula>
    </cfRule>
  </conditionalFormatting>
  <conditionalFormatting sqref="I220:I227">
    <cfRule type="containsText" dxfId="4" priority="2" operator="containsText" text="Prakt.">
      <formula>NOT(ISERROR(SEARCH("Prakt.",I220)))</formula>
    </cfRule>
  </conditionalFormatting>
  <conditionalFormatting sqref="I238">
    <cfRule type="containsText" dxfId="3" priority="3" operator="containsText" text="Prakt.">
      <formula>NOT(ISERROR(SEARCH("Prakt.",I238)))</formula>
    </cfRule>
  </conditionalFormatting>
  <conditionalFormatting sqref="I229:I234">
    <cfRule type="containsText" dxfId="2" priority="1" operator="containsText" text="Prakt.">
      <formula>NOT(ISERROR(SEARCH("Prakt.",I229)))</formula>
    </cfRule>
  </conditionalFormatting>
  <pageMargins left="0.12" right="0.2" top="0.54" bottom="0.3" header="0.3" footer="0.3"/>
  <pageSetup scale="8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0AD5-7714-4014-91B6-468555A1DE70}">
  <dimension ref="A1:O1048405"/>
  <sheetViews>
    <sheetView zoomScale="70" zoomScaleNormal="95" workbookViewId="0">
      <selection activeCell="N28" sqref="N28"/>
    </sheetView>
  </sheetViews>
  <sheetFormatPr defaultRowHeight="15" x14ac:dyDescent="0.25"/>
  <cols>
    <col min="1" max="1" width="5.5703125" customWidth="1"/>
    <col min="2" max="2" width="38.140625" customWidth="1"/>
    <col min="3" max="3" width="13" style="10" customWidth="1"/>
    <col min="4" max="4" width="8.42578125" customWidth="1"/>
    <col min="5" max="5" width="11.85546875" customWidth="1"/>
    <col min="6" max="6" width="7.42578125" style="9" customWidth="1"/>
    <col min="7" max="7" width="7.42578125" customWidth="1"/>
    <col min="8" max="8" width="34" style="10" customWidth="1"/>
    <col min="9" max="9" width="10.28515625" bestFit="1" customWidth="1"/>
    <col min="10" max="10" width="18.140625" style="10" customWidth="1"/>
    <col min="11" max="11" width="12.7109375" bestFit="1" customWidth="1"/>
  </cols>
  <sheetData>
    <row r="1" spans="1:12" s="8" customFormat="1" ht="18.75" customHeight="1" x14ac:dyDescent="0.25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2" s="8" customFormat="1" ht="18.75" customHeight="1" x14ac:dyDescent="0.25">
      <c r="A2" s="152" t="s">
        <v>77</v>
      </c>
      <c r="B2" s="152"/>
      <c r="C2" s="152"/>
      <c r="D2" s="152"/>
      <c r="E2" s="152"/>
      <c r="F2" s="152"/>
      <c r="G2" s="152"/>
      <c r="H2" s="152"/>
      <c r="I2" s="152"/>
      <c r="J2" s="152"/>
    </row>
    <row r="3" spans="1:12" s="8" customFormat="1" ht="18.75" customHeight="1" x14ac:dyDescent="0.25">
      <c r="A3" s="152" t="s">
        <v>114</v>
      </c>
      <c r="B3" s="152"/>
      <c r="C3" s="152"/>
      <c r="D3" s="152"/>
      <c r="E3" s="152"/>
      <c r="F3" s="152"/>
      <c r="G3" s="152"/>
      <c r="H3" s="152"/>
      <c r="I3" s="152"/>
      <c r="J3" s="152"/>
    </row>
    <row r="4" spans="1:12" x14ac:dyDescent="0.25">
      <c r="B4" t="s">
        <v>27</v>
      </c>
      <c r="C4" s="10" t="s">
        <v>27</v>
      </c>
      <c r="E4" t="s">
        <v>27</v>
      </c>
      <c r="H4" s="10" t="s">
        <v>27</v>
      </c>
    </row>
    <row r="5" spans="1:12" ht="14.45" customHeight="1" x14ac:dyDescent="0.25">
      <c r="A5" s="159" t="s">
        <v>1</v>
      </c>
      <c r="B5" s="163" t="s">
        <v>28</v>
      </c>
      <c r="C5" s="159" t="s">
        <v>3</v>
      </c>
      <c r="D5" s="11" t="s">
        <v>4</v>
      </c>
      <c r="E5" s="11"/>
      <c r="F5" s="166" t="s">
        <v>5</v>
      </c>
      <c r="G5" s="160" t="s">
        <v>6</v>
      </c>
      <c r="H5" s="168" t="s">
        <v>7</v>
      </c>
      <c r="I5" s="160" t="s">
        <v>8</v>
      </c>
      <c r="J5" s="160" t="s">
        <v>9</v>
      </c>
      <c r="K5" s="158" t="s">
        <v>10</v>
      </c>
      <c r="L5" s="18" t="s">
        <v>29</v>
      </c>
    </row>
    <row r="6" spans="1:12" x14ac:dyDescent="0.25">
      <c r="A6" s="162"/>
      <c r="B6" s="164"/>
      <c r="C6" s="165"/>
      <c r="D6" s="31" t="s">
        <v>11</v>
      </c>
      <c r="E6" s="31" t="s">
        <v>12</v>
      </c>
      <c r="F6" s="167"/>
      <c r="G6" s="161"/>
      <c r="H6" s="168"/>
      <c r="I6" s="161"/>
      <c r="J6" s="161"/>
      <c r="K6" s="159"/>
    </row>
    <row r="7" spans="1:12" s="14" customFormat="1" ht="15" customHeight="1" x14ac:dyDescent="0.25">
      <c r="A7" s="52">
        <v>1</v>
      </c>
      <c r="B7" s="43" t="s">
        <v>69</v>
      </c>
      <c r="C7" s="44" t="s">
        <v>97</v>
      </c>
      <c r="D7" s="45">
        <v>0.5</v>
      </c>
      <c r="E7" s="45">
        <v>0.53472222222222221</v>
      </c>
      <c r="F7" s="51">
        <f t="shared" ref="F7:F13" si="0">VALUE(K7)</f>
        <v>50</v>
      </c>
      <c r="G7" s="49">
        <f t="shared" ref="G7:G13" si="1">IF(F7&gt;=300,6,IF(F7&gt;=250,5,IF(F7&gt;=200,4,IF(F7&gt;=150,3,IF(F7&gt;=100,2,IF(F7&gt;=50,1,0))))))</f>
        <v>1</v>
      </c>
      <c r="H7" s="43" t="s">
        <v>45</v>
      </c>
      <c r="I7" s="46" t="s">
        <v>13</v>
      </c>
      <c r="J7" s="46" t="s">
        <v>14</v>
      </c>
      <c r="K7" s="47" t="str">
        <f t="shared" ref="K7:K15" si="2">TEXT(E7-D7,"[mm]")</f>
        <v>50</v>
      </c>
    </row>
    <row r="8" spans="1:12" s="14" customFormat="1" ht="15" customHeight="1" x14ac:dyDescent="0.25">
      <c r="A8" s="52"/>
      <c r="B8" s="43" t="s">
        <v>69</v>
      </c>
      <c r="C8" s="44" t="s">
        <v>98</v>
      </c>
      <c r="D8" s="45">
        <v>0.5</v>
      </c>
      <c r="E8" s="45">
        <v>0.53472222222222221</v>
      </c>
      <c r="F8" s="51">
        <f t="shared" si="0"/>
        <v>50</v>
      </c>
      <c r="G8" s="49">
        <f t="shared" si="1"/>
        <v>1</v>
      </c>
      <c r="H8" s="43" t="s">
        <v>45</v>
      </c>
      <c r="I8" s="46" t="s">
        <v>13</v>
      </c>
      <c r="J8" s="46" t="s">
        <v>14</v>
      </c>
      <c r="K8" s="47" t="str">
        <f t="shared" si="2"/>
        <v>50</v>
      </c>
    </row>
    <row r="9" spans="1:12" s="14" customFormat="1" ht="15" customHeight="1" x14ac:dyDescent="0.25">
      <c r="A9" s="52"/>
      <c r="B9" s="43" t="s">
        <v>69</v>
      </c>
      <c r="C9" s="44" t="s">
        <v>99</v>
      </c>
      <c r="D9" s="45">
        <v>0.5</v>
      </c>
      <c r="E9" s="45">
        <v>0.53472222222222221</v>
      </c>
      <c r="F9" s="51">
        <f t="shared" si="0"/>
        <v>50</v>
      </c>
      <c r="G9" s="49">
        <f t="shared" si="1"/>
        <v>1</v>
      </c>
      <c r="H9" s="43" t="s">
        <v>45</v>
      </c>
      <c r="I9" s="46" t="s">
        <v>13</v>
      </c>
      <c r="J9" s="46" t="s">
        <v>14</v>
      </c>
      <c r="K9" s="47" t="str">
        <f t="shared" si="2"/>
        <v>50</v>
      </c>
    </row>
    <row r="10" spans="1:12" s="12" customFormat="1" ht="15" customHeight="1" x14ac:dyDescent="0.25">
      <c r="A10" s="52"/>
      <c r="B10" s="43" t="s">
        <v>69</v>
      </c>
      <c r="C10" s="44" t="s">
        <v>97</v>
      </c>
      <c r="D10" s="45">
        <v>0.46527777777777773</v>
      </c>
      <c r="E10" s="45">
        <v>0.5</v>
      </c>
      <c r="F10" s="51">
        <f t="shared" si="0"/>
        <v>50</v>
      </c>
      <c r="G10" s="49">
        <f t="shared" si="1"/>
        <v>1</v>
      </c>
      <c r="H10" s="43" t="s">
        <v>45</v>
      </c>
      <c r="I10" s="46" t="s">
        <v>13</v>
      </c>
      <c r="J10" s="46" t="s">
        <v>15</v>
      </c>
      <c r="K10" s="47" t="str">
        <f t="shared" si="2"/>
        <v>50</v>
      </c>
    </row>
    <row r="11" spans="1:12" s="12" customFormat="1" ht="15" customHeight="1" x14ac:dyDescent="0.25">
      <c r="A11" s="52"/>
      <c r="B11" s="43" t="s">
        <v>69</v>
      </c>
      <c r="C11" s="44" t="s">
        <v>98</v>
      </c>
      <c r="D11" s="45">
        <v>0.46527777777777773</v>
      </c>
      <c r="E11" s="45">
        <v>0.5</v>
      </c>
      <c r="F11" s="51">
        <f t="shared" ref="F11:F12" si="3">VALUE(K11)</f>
        <v>50</v>
      </c>
      <c r="G11" s="49">
        <f t="shared" ref="G11:G12" si="4">IF(F11&gt;=300,6,IF(F11&gt;=250,5,IF(F11&gt;=200,4,IF(F11&gt;=150,3,IF(F11&gt;=100,2,IF(F11&gt;=50,1,0))))))</f>
        <v>1</v>
      </c>
      <c r="H11" s="43" t="s">
        <v>45</v>
      </c>
      <c r="I11" s="46" t="s">
        <v>13</v>
      </c>
      <c r="J11" s="46" t="s">
        <v>15</v>
      </c>
      <c r="K11" s="47" t="str">
        <f t="shared" ref="K11:K12" si="5">TEXT(E11-D11,"[mm]")</f>
        <v>50</v>
      </c>
    </row>
    <row r="12" spans="1:12" s="12" customFormat="1" ht="15" customHeight="1" x14ac:dyDescent="0.25">
      <c r="A12" s="52"/>
      <c r="B12" s="43" t="s">
        <v>69</v>
      </c>
      <c r="C12" s="44" t="s">
        <v>99</v>
      </c>
      <c r="D12" s="45">
        <v>0.46527777777777773</v>
      </c>
      <c r="E12" s="45">
        <v>0.5</v>
      </c>
      <c r="F12" s="51">
        <f t="shared" si="3"/>
        <v>50</v>
      </c>
      <c r="G12" s="49">
        <f t="shared" si="4"/>
        <v>1</v>
      </c>
      <c r="H12" s="43" t="s">
        <v>45</v>
      </c>
      <c r="I12" s="46" t="s">
        <v>13</v>
      </c>
      <c r="J12" s="46" t="s">
        <v>15</v>
      </c>
      <c r="K12" s="47" t="str">
        <f t="shared" si="5"/>
        <v>50</v>
      </c>
    </row>
    <row r="13" spans="1:12" s="14" customFormat="1" ht="15" customHeight="1" x14ac:dyDescent="0.25">
      <c r="A13" s="52"/>
      <c r="B13" s="43" t="s">
        <v>69</v>
      </c>
      <c r="C13" s="44" t="s">
        <v>97</v>
      </c>
      <c r="D13" s="45">
        <v>0.54166666666666663</v>
      </c>
      <c r="E13" s="45">
        <v>0.57638888888888884</v>
      </c>
      <c r="F13" s="51">
        <f t="shared" si="0"/>
        <v>50</v>
      </c>
      <c r="G13" s="49">
        <f t="shared" si="1"/>
        <v>1</v>
      </c>
      <c r="H13" s="43" t="s">
        <v>45</v>
      </c>
      <c r="I13" s="46" t="s">
        <v>13</v>
      </c>
      <c r="J13" s="46" t="s">
        <v>16</v>
      </c>
      <c r="K13" s="47" t="str">
        <f t="shared" si="2"/>
        <v>50</v>
      </c>
    </row>
    <row r="14" spans="1:12" s="14" customFormat="1" ht="15" customHeight="1" x14ac:dyDescent="0.25">
      <c r="A14" s="52"/>
      <c r="B14" s="43" t="s">
        <v>69</v>
      </c>
      <c r="C14" s="44" t="s">
        <v>95</v>
      </c>
      <c r="D14" s="45">
        <v>0.54166666666666663</v>
      </c>
      <c r="E14" s="45">
        <v>0.57638888888888884</v>
      </c>
      <c r="F14" s="51">
        <f t="shared" ref="F14:F15" si="6">VALUE(K14)</f>
        <v>50</v>
      </c>
      <c r="G14" s="49">
        <f t="shared" ref="G14:G15" si="7">IF(F14&gt;=300,6,IF(F14&gt;=250,5,IF(F14&gt;=200,4,IF(F14&gt;=150,3,IF(F14&gt;=100,2,IF(F14&gt;=50,1,0))))))</f>
        <v>1</v>
      </c>
      <c r="H14" s="43" t="s">
        <v>45</v>
      </c>
      <c r="I14" s="46" t="s">
        <v>13</v>
      </c>
      <c r="J14" s="46" t="s">
        <v>16</v>
      </c>
      <c r="K14" s="47" t="str">
        <f t="shared" si="2"/>
        <v>50</v>
      </c>
    </row>
    <row r="15" spans="1:12" s="14" customFormat="1" ht="15" customHeight="1" x14ac:dyDescent="0.25">
      <c r="A15" s="52"/>
      <c r="B15" s="43" t="s">
        <v>69</v>
      </c>
      <c r="C15" s="44" t="s">
        <v>98</v>
      </c>
      <c r="D15" s="45">
        <v>0.54166666666666663</v>
      </c>
      <c r="E15" s="45">
        <v>0.57638888888888884</v>
      </c>
      <c r="F15" s="51">
        <f t="shared" si="6"/>
        <v>50</v>
      </c>
      <c r="G15" s="49">
        <f t="shared" si="7"/>
        <v>1</v>
      </c>
      <c r="H15" s="43" t="s">
        <v>30</v>
      </c>
      <c r="I15" s="46" t="s">
        <v>13</v>
      </c>
      <c r="J15" s="46" t="s">
        <v>16</v>
      </c>
      <c r="K15" s="47" t="str">
        <f t="shared" si="2"/>
        <v>50</v>
      </c>
    </row>
    <row r="16" spans="1:12" s="14" customFormat="1" ht="15" customHeight="1" x14ac:dyDescent="0.25">
      <c r="A16" s="53"/>
      <c r="B16" s="54"/>
      <c r="C16" s="54"/>
      <c r="D16" s="54"/>
      <c r="E16" s="54"/>
      <c r="F16" s="55"/>
      <c r="G16" s="56"/>
      <c r="H16" s="54"/>
      <c r="I16" s="54"/>
      <c r="J16" s="54"/>
      <c r="K16" s="55"/>
    </row>
    <row r="17" spans="1:14" s="12" customFormat="1" ht="15" customHeight="1" x14ac:dyDescent="0.25">
      <c r="A17" s="52">
        <v>2</v>
      </c>
      <c r="B17" s="43" t="s">
        <v>70</v>
      </c>
      <c r="C17" s="44" t="s">
        <v>105</v>
      </c>
      <c r="D17" s="45">
        <v>0.68055555555555558</v>
      </c>
      <c r="E17" s="45">
        <v>0.75</v>
      </c>
      <c r="F17" s="51">
        <f t="shared" ref="F17:F21" si="8">VALUE(K17)</f>
        <v>100</v>
      </c>
      <c r="G17" s="49">
        <f t="shared" ref="G17:G21" si="9">IF(F17&gt;=300,6,IF(F17&gt;=250,5,IF(F17&gt;=200,4,IF(F17&gt;=150,3,IF(F17&gt;=100,2,IF(F17&gt;=50,1,0))))))</f>
        <v>2</v>
      </c>
      <c r="H17" s="43" t="s">
        <v>20</v>
      </c>
      <c r="I17" s="46" t="s">
        <v>13</v>
      </c>
      <c r="J17" s="46" t="s">
        <v>16</v>
      </c>
      <c r="K17" s="47" t="str">
        <f t="shared" ref="K17:K21" si="10">TEXT(E17-D17,"[mm]")</f>
        <v>100</v>
      </c>
    </row>
    <row r="18" spans="1:14" s="12" customFormat="1" ht="15" customHeight="1" x14ac:dyDescent="0.25">
      <c r="A18" s="52"/>
      <c r="B18" s="43" t="s">
        <v>70</v>
      </c>
      <c r="C18" s="44" t="s">
        <v>100</v>
      </c>
      <c r="D18" s="45">
        <v>0.68055555555555558</v>
      </c>
      <c r="E18" s="45">
        <v>0.75</v>
      </c>
      <c r="F18" s="51">
        <f t="shared" si="8"/>
        <v>100</v>
      </c>
      <c r="G18" s="49">
        <f t="shared" si="9"/>
        <v>2</v>
      </c>
      <c r="H18" s="43" t="s">
        <v>20</v>
      </c>
      <c r="I18" s="46" t="s">
        <v>13</v>
      </c>
      <c r="J18" s="46" t="s">
        <v>16</v>
      </c>
      <c r="K18" s="47" t="str">
        <f t="shared" si="10"/>
        <v>100</v>
      </c>
    </row>
    <row r="19" spans="1:14" s="12" customFormat="1" ht="15" customHeight="1" x14ac:dyDescent="0.25">
      <c r="A19" s="52"/>
      <c r="B19" s="43" t="s">
        <v>70</v>
      </c>
      <c r="C19" s="44" t="s">
        <v>106</v>
      </c>
      <c r="D19" s="45">
        <v>0.68055555555555558</v>
      </c>
      <c r="E19" s="45">
        <v>0.75</v>
      </c>
      <c r="F19" s="51">
        <f t="shared" ref="F19" si="11">VALUE(K19)</f>
        <v>100</v>
      </c>
      <c r="G19" s="49">
        <f t="shared" ref="G19" si="12">IF(F19&gt;=300,6,IF(F19&gt;=250,5,IF(F19&gt;=200,4,IF(F19&gt;=150,3,IF(F19&gt;=100,2,IF(F19&gt;=50,1,0))))))</f>
        <v>2</v>
      </c>
      <c r="H19" s="43" t="s">
        <v>20</v>
      </c>
      <c r="I19" s="46" t="s">
        <v>13</v>
      </c>
      <c r="J19" s="46" t="s">
        <v>16</v>
      </c>
      <c r="K19" s="47" t="str">
        <f t="shared" ref="K19" si="13">TEXT(E19-D19,"[mm]")</f>
        <v>100</v>
      </c>
    </row>
    <row r="20" spans="1:14" s="14" customFormat="1" ht="15" customHeight="1" x14ac:dyDescent="0.25">
      <c r="A20" s="52"/>
      <c r="B20" s="43" t="s">
        <v>70</v>
      </c>
      <c r="C20" s="44" t="s">
        <v>93</v>
      </c>
      <c r="D20" s="45">
        <v>0.68055555555555558</v>
      </c>
      <c r="E20" s="45">
        <v>0.75</v>
      </c>
      <c r="F20" s="51">
        <f t="shared" si="8"/>
        <v>100</v>
      </c>
      <c r="G20" s="49">
        <f t="shared" si="9"/>
        <v>2</v>
      </c>
      <c r="H20" s="43" t="s">
        <v>20</v>
      </c>
      <c r="I20" s="46" t="s">
        <v>13</v>
      </c>
      <c r="J20" s="46" t="s">
        <v>14</v>
      </c>
      <c r="K20" s="47" t="str">
        <f t="shared" si="10"/>
        <v>100</v>
      </c>
    </row>
    <row r="21" spans="1:14" s="14" customFormat="1" ht="15" customHeight="1" x14ac:dyDescent="0.25">
      <c r="A21" s="52"/>
      <c r="B21" s="43" t="s">
        <v>70</v>
      </c>
      <c r="C21" s="44" t="s">
        <v>101</v>
      </c>
      <c r="D21" s="45">
        <v>0.68055555555555558</v>
      </c>
      <c r="E21" s="45">
        <v>0.75</v>
      </c>
      <c r="F21" s="51">
        <f t="shared" si="8"/>
        <v>100</v>
      </c>
      <c r="G21" s="49">
        <f t="shared" si="9"/>
        <v>2</v>
      </c>
      <c r="H21" s="43" t="s">
        <v>20</v>
      </c>
      <c r="I21" s="46" t="s">
        <v>13</v>
      </c>
      <c r="J21" s="46" t="s">
        <v>14</v>
      </c>
      <c r="K21" s="47" t="str">
        <f t="shared" si="10"/>
        <v>100</v>
      </c>
    </row>
    <row r="22" spans="1:14" s="14" customFormat="1" ht="15" customHeight="1" x14ac:dyDescent="0.25">
      <c r="A22" s="52"/>
      <c r="B22" s="43" t="s">
        <v>70</v>
      </c>
      <c r="C22" s="44" t="s">
        <v>102</v>
      </c>
      <c r="D22" s="45">
        <v>0.68055555555555558</v>
      </c>
      <c r="E22" s="45">
        <v>0.75</v>
      </c>
      <c r="F22" s="51">
        <f t="shared" ref="F22" si="14">VALUE(K22)</f>
        <v>100</v>
      </c>
      <c r="G22" s="49">
        <f t="shared" ref="G22" si="15">IF(F22&gt;=300,6,IF(F22&gt;=250,5,IF(F22&gt;=200,4,IF(F22&gt;=150,3,IF(F22&gt;=100,2,IF(F22&gt;=50,1,0))))))</f>
        <v>2</v>
      </c>
      <c r="H22" s="43" t="s">
        <v>20</v>
      </c>
      <c r="I22" s="46" t="s">
        <v>13</v>
      </c>
      <c r="J22" s="46" t="s">
        <v>14</v>
      </c>
      <c r="K22" s="47" t="str">
        <f t="shared" ref="K22" si="16">TEXT(E22-D22,"[mm]")</f>
        <v>100</v>
      </c>
    </row>
    <row r="23" spans="1:14" s="14" customFormat="1" ht="15" customHeight="1" x14ac:dyDescent="0.25">
      <c r="A23" s="52"/>
      <c r="B23" s="43" t="s">
        <v>70</v>
      </c>
      <c r="C23" s="44" t="s">
        <v>97</v>
      </c>
      <c r="D23" s="45">
        <v>0.68055555555555558</v>
      </c>
      <c r="E23" s="45">
        <v>0.75</v>
      </c>
      <c r="F23" s="51">
        <f>VALUE(K23)</f>
        <v>100</v>
      </c>
      <c r="G23" s="49">
        <f>IF(F23&gt;=300,6,IF(F23&gt;=250,5,IF(F23&gt;=200,4,IF(F23&gt;=150,3,IF(F23&gt;=100,2,IF(F23&gt;=50,1,0))))))</f>
        <v>2</v>
      </c>
      <c r="H23" s="43" t="s">
        <v>20</v>
      </c>
      <c r="I23" s="46" t="s">
        <v>13</v>
      </c>
      <c r="J23" s="46" t="s">
        <v>15</v>
      </c>
      <c r="K23" s="47" t="str">
        <f>TEXT(E23-D23,"[mm]")</f>
        <v>100</v>
      </c>
    </row>
    <row r="24" spans="1:14" s="14" customFormat="1" ht="15" customHeight="1" x14ac:dyDescent="0.25">
      <c r="A24" s="52"/>
      <c r="B24" s="43" t="s">
        <v>70</v>
      </c>
      <c r="C24" s="44" t="s">
        <v>98</v>
      </c>
      <c r="D24" s="45">
        <v>0.68055555555555558</v>
      </c>
      <c r="E24" s="45">
        <v>0.75</v>
      </c>
      <c r="F24" s="51">
        <f>VALUE(K24)</f>
        <v>100</v>
      </c>
      <c r="G24" s="49">
        <f>IF(F24&gt;=300,6,IF(F24&gt;=250,5,IF(F24&gt;=200,4,IF(F24&gt;=150,3,IF(F24&gt;=100,2,IF(F24&gt;=50,1,0))))))</f>
        <v>2</v>
      </c>
      <c r="H24" s="43" t="s">
        <v>20</v>
      </c>
      <c r="I24" s="46" t="s">
        <v>13</v>
      </c>
      <c r="J24" s="46" t="s">
        <v>15</v>
      </c>
      <c r="K24" s="47" t="str">
        <f>TEXT(E24-D24,"[mm]")</f>
        <v>100</v>
      </c>
    </row>
    <row r="25" spans="1:14" s="14" customFormat="1" ht="15" customHeight="1" x14ac:dyDescent="0.25">
      <c r="A25" s="52"/>
      <c r="B25" s="43" t="s">
        <v>70</v>
      </c>
      <c r="C25" s="44" t="s">
        <v>99</v>
      </c>
      <c r="D25" s="45">
        <v>0.68055555555555558</v>
      </c>
      <c r="E25" s="45">
        <v>0.75</v>
      </c>
      <c r="F25" s="51">
        <f>VALUE(K25)</f>
        <v>100</v>
      </c>
      <c r="G25" s="49">
        <f>IF(F25&gt;=300,6,IF(F25&gt;=250,5,IF(F25&gt;=200,4,IF(F25&gt;=150,3,IF(F25&gt;=100,2,IF(F25&gt;=50,1,0))))))</f>
        <v>2</v>
      </c>
      <c r="H25" s="43" t="s">
        <v>20</v>
      </c>
      <c r="I25" s="46" t="s">
        <v>13</v>
      </c>
      <c r="J25" s="46" t="s">
        <v>15</v>
      </c>
      <c r="K25" s="47" t="str">
        <f>TEXT(E25-D25,"[mm]")</f>
        <v>100</v>
      </c>
    </row>
    <row r="26" spans="1:14" s="14" customFormat="1" ht="15" customHeight="1" x14ac:dyDescent="0.25">
      <c r="A26" s="53"/>
      <c r="B26" s="54"/>
      <c r="C26" s="54"/>
      <c r="D26" s="54"/>
      <c r="E26" s="54"/>
      <c r="F26" s="55"/>
      <c r="G26" s="56"/>
      <c r="H26" s="54"/>
      <c r="I26" s="54"/>
      <c r="J26" s="54"/>
      <c r="K26" s="55"/>
    </row>
    <row r="27" spans="1:14" ht="15" customHeight="1" x14ac:dyDescent="0.25">
      <c r="A27" s="52">
        <v>3</v>
      </c>
      <c r="B27" s="43" t="s">
        <v>71</v>
      </c>
      <c r="C27" s="44" t="s">
        <v>116</v>
      </c>
      <c r="D27" s="45">
        <v>0.54166666666666663</v>
      </c>
      <c r="E27" s="45">
        <v>0.61111111111111105</v>
      </c>
      <c r="F27" s="51">
        <f t="shared" ref="F27:F35" si="17">VALUE(K27)</f>
        <v>100</v>
      </c>
      <c r="G27" s="49">
        <f t="shared" ref="G27:G35" si="18">IF(F27&gt;=300,6,IF(F27&gt;=250,5,IF(F27&gt;=200,4,IF(F27&gt;=150,3,IF(F27&gt;=100,2,IF(F27&gt;=50,1,0))))))</f>
        <v>2</v>
      </c>
      <c r="H27" s="43" t="s">
        <v>74</v>
      </c>
      <c r="I27" s="46" t="s">
        <v>13</v>
      </c>
      <c r="J27" s="46" t="s">
        <v>22</v>
      </c>
      <c r="K27" s="47" t="str">
        <f t="shared" ref="K27:K35" si="19">TEXT(E27-D27,"[mm]")</f>
        <v>100</v>
      </c>
      <c r="M27" s="15"/>
    </row>
    <row r="28" spans="1:14" ht="15" customHeight="1" x14ac:dyDescent="0.25">
      <c r="A28" s="52"/>
      <c r="B28" s="43" t="s">
        <v>71</v>
      </c>
      <c r="C28" s="44" t="s">
        <v>93</v>
      </c>
      <c r="D28" s="45">
        <v>0.54166666666666663</v>
      </c>
      <c r="E28" s="45">
        <v>0.61111111111111105</v>
      </c>
      <c r="F28" s="51">
        <f t="shared" ref="F28:F33" si="20">VALUE(K28)</f>
        <v>100</v>
      </c>
      <c r="G28" s="49">
        <f t="shared" ref="G28:G33" si="21">IF(F28&gt;=300,6,IF(F28&gt;=250,5,IF(F28&gt;=200,4,IF(F28&gt;=150,3,IF(F28&gt;=100,2,IF(F28&gt;=50,1,0))))))</f>
        <v>2</v>
      </c>
      <c r="H28" s="43" t="s">
        <v>74</v>
      </c>
      <c r="I28" s="46" t="s">
        <v>13</v>
      </c>
      <c r="J28" s="46" t="s">
        <v>22</v>
      </c>
      <c r="K28" s="47" t="str">
        <f t="shared" ref="K28:K33" si="22">TEXT(E28-D28,"[mm]")</f>
        <v>100</v>
      </c>
      <c r="M28" s="15"/>
      <c r="N28" t="s">
        <v>27</v>
      </c>
    </row>
    <row r="29" spans="1:14" ht="15" customHeight="1" x14ac:dyDescent="0.25">
      <c r="A29" s="52"/>
      <c r="B29" s="43" t="s">
        <v>71</v>
      </c>
      <c r="C29" s="44" t="s">
        <v>101</v>
      </c>
      <c r="D29" s="45">
        <v>0.54166666666666663</v>
      </c>
      <c r="E29" s="45">
        <v>0.61111111111111105</v>
      </c>
      <c r="F29" s="51">
        <f t="shared" si="20"/>
        <v>100</v>
      </c>
      <c r="G29" s="49">
        <f t="shared" si="21"/>
        <v>2</v>
      </c>
      <c r="H29" s="43" t="s">
        <v>74</v>
      </c>
      <c r="I29" s="46" t="s">
        <v>13</v>
      </c>
      <c r="J29" s="46" t="s">
        <v>22</v>
      </c>
      <c r="K29" s="47" t="str">
        <f t="shared" si="22"/>
        <v>100</v>
      </c>
      <c r="M29" s="15"/>
    </row>
    <row r="30" spans="1:14" ht="15" customHeight="1" x14ac:dyDescent="0.25">
      <c r="A30" s="52"/>
      <c r="B30" s="43" t="s">
        <v>71</v>
      </c>
      <c r="C30" s="44" t="s">
        <v>116</v>
      </c>
      <c r="D30" s="45">
        <v>0.39583333333333331</v>
      </c>
      <c r="E30" s="45">
        <v>0.46527777777777773</v>
      </c>
      <c r="F30" s="51">
        <f t="shared" si="20"/>
        <v>100</v>
      </c>
      <c r="G30" s="49">
        <f t="shared" si="21"/>
        <v>2</v>
      </c>
      <c r="H30" s="43" t="s">
        <v>74</v>
      </c>
      <c r="I30" s="46" t="s">
        <v>13</v>
      </c>
      <c r="J30" s="46" t="s">
        <v>23</v>
      </c>
      <c r="K30" s="47" t="str">
        <f t="shared" si="22"/>
        <v>100</v>
      </c>
      <c r="M30" s="15"/>
    </row>
    <row r="31" spans="1:14" ht="15" customHeight="1" x14ac:dyDescent="0.25">
      <c r="A31" s="52"/>
      <c r="B31" s="43" t="s">
        <v>71</v>
      </c>
      <c r="C31" s="44" t="s">
        <v>93</v>
      </c>
      <c r="D31" s="45">
        <v>0.39583333333333331</v>
      </c>
      <c r="E31" s="45">
        <v>0.46527777777777773</v>
      </c>
      <c r="F31" s="51">
        <f t="shared" si="20"/>
        <v>100</v>
      </c>
      <c r="G31" s="49">
        <f t="shared" si="21"/>
        <v>2</v>
      </c>
      <c r="H31" s="43" t="s">
        <v>74</v>
      </c>
      <c r="I31" s="46" t="s">
        <v>13</v>
      </c>
      <c r="J31" s="46" t="s">
        <v>23</v>
      </c>
      <c r="K31" s="47" t="str">
        <f t="shared" si="22"/>
        <v>100</v>
      </c>
      <c r="M31" s="15"/>
    </row>
    <row r="32" spans="1:14" ht="15" customHeight="1" x14ac:dyDescent="0.25">
      <c r="A32" s="52"/>
      <c r="B32" s="43" t="s">
        <v>71</v>
      </c>
      <c r="C32" s="44" t="s">
        <v>101</v>
      </c>
      <c r="D32" s="45">
        <v>0.39583333333333331</v>
      </c>
      <c r="E32" s="45">
        <v>0.46527777777777773</v>
      </c>
      <c r="F32" s="51">
        <f t="shared" si="20"/>
        <v>100</v>
      </c>
      <c r="G32" s="49">
        <f t="shared" si="21"/>
        <v>2</v>
      </c>
      <c r="H32" s="43" t="s">
        <v>74</v>
      </c>
      <c r="I32" s="46" t="s">
        <v>13</v>
      </c>
      <c r="J32" s="46" t="s">
        <v>23</v>
      </c>
      <c r="K32" s="47" t="str">
        <f t="shared" si="22"/>
        <v>100</v>
      </c>
      <c r="M32" s="15"/>
    </row>
    <row r="33" spans="1:13" ht="15" customHeight="1" x14ac:dyDescent="0.25">
      <c r="A33" s="52"/>
      <c r="B33" s="43" t="s">
        <v>71</v>
      </c>
      <c r="C33" s="44" t="s">
        <v>116</v>
      </c>
      <c r="D33" s="45">
        <v>0.3263888888888889</v>
      </c>
      <c r="E33" s="45">
        <v>0.39583333333333331</v>
      </c>
      <c r="F33" s="51">
        <f t="shared" si="20"/>
        <v>100</v>
      </c>
      <c r="G33" s="49">
        <f t="shared" si="21"/>
        <v>2</v>
      </c>
      <c r="H33" s="43" t="s">
        <v>74</v>
      </c>
      <c r="I33" s="46" t="s">
        <v>13</v>
      </c>
      <c r="J33" s="46" t="s">
        <v>21</v>
      </c>
      <c r="K33" s="47" t="str">
        <f t="shared" si="22"/>
        <v>100</v>
      </c>
      <c r="M33" s="15"/>
    </row>
    <row r="34" spans="1:13" ht="15" customHeight="1" x14ac:dyDescent="0.25">
      <c r="A34" s="52"/>
      <c r="B34" s="43" t="s">
        <v>71</v>
      </c>
      <c r="C34" s="44" t="s">
        <v>93</v>
      </c>
      <c r="D34" s="45">
        <v>0.3263888888888889</v>
      </c>
      <c r="E34" s="45">
        <v>0.39583333333333331</v>
      </c>
      <c r="F34" s="51">
        <f t="shared" si="17"/>
        <v>100</v>
      </c>
      <c r="G34" s="49">
        <f t="shared" si="18"/>
        <v>2</v>
      </c>
      <c r="H34" s="43" t="s">
        <v>74</v>
      </c>
      <c r="I34" s="46" t="s">
        <v>13</v>
      </c>
      <c r="J34" s="46" t="s">
        <v>21</v>
      </c>
      <c r="K34" s="47" t="str">
        <f t="shared" si="19"/>
        <v>100</v>
      </c>
      <c r="M34" s="15"/>
    </row>
    <row r="35" spans="1:13" ht="15" customHeight="1" x14ac:dyDescent="0.25">
      <c r="A35" s="52"/>
      <c r="B35" s="43" t="s">
        <v>71</v>
      </c>
      <c r="C35" s="44" t="s">
        <v>101</v>
      </c>
      <c r="D35" s="45">
        <v>0.3263888888888889</v>
      </c>
      <c r="E35" s="45">
        <v>0.39583333333333331</v>
      </c>
      <c r="F35" s="51">
        <f t="shared" si="17"/>
        <v>100</v>
      </c>
      <c r="G35" s="49">
        <f t="shared" si="18"/>
        <v>2</v>
      </c>
      <c r="H35" s="43" t="s">
        <v>74</v>
      </c>
      <c r="I35" s="46" t="s">
        <v>13</v>
      </c>
      <c r="J35" s="46" t="s">
        <v>21</v>
      </c>
      <c r="K35" s="47" t="str">
        <f t="shared" si="19"/>
        <v>100</v>
      </c>
      <c r="L35" t="s">
        <v>27</v>
      </c>
      <c r="M35" s="15"/>
    </row>
    <row r="36" spans="1:13" ht="15" customHeight="1" x14ac:dyDescent="0.25">
      <c r="A36" s="53"/>
      <c r="B36" s="54"/>
      <c r="C36" s="54"/>
      <c r="D36" s="54"/>
      <c r="E36" s="54"/>
      <c r="F36" s="55"/>
      <c r="G36" s="56"/>
      <c r="H36" s="54"/>
      <c r="I36" s="54"/>
      <c r="J36" s="54"/>
      <c r="K36" s="55"/>
    </row>
    <row r="37" spans="1:13" ht="15" customHeight="1" x14ac:dyDescent="0.25">
      <c r="A37" s="52">
        <v>4</v>
      </c>
      <c r="B37" s="43" t="s">
        <v>72</v>
      </c>
      <c r="C37" s="44" t="s">
        <v>117</v>
      </c>
      <c r="D37" s="45">
        <v>0.3611111111111111</v>
      </c>
      <c r="E37" s="45">
        <v>0.43055555555555558</v>
      </c>
      <c r="F37" s="51">
        <f t="shared" ref="F37:F45" si="23">VALUE(K37)</f>
        <v>100</v>
      </c>
      <c r="G37" s="49">
        <f t="shared" ref="G37:G45" si="24">IF(F37&gt;=300,6,IF(F37&gt;=250,5,IF(F37&gt;=200,4,IF(F37&gt;=150,3,IF(F37&gt;=100,2,IF(F37&gt;=50,1,0))))))</f>
        <v>2</v>
      </c>
      <c r="H37" s="43" t="s">
        <v>75</v>
      </c>
      <c r="I37" s="46" t="s">
        <v>13</v>
      </c>
      <c r="J37" s="46" t="s">
        <v>23</v>
      </c>
      <c r="K37" s="47" t="str">
        <f t="shared" ref="K37:K45" si="25">TEXT(E37-D37,"[mm]")</f>
        <v>100</v>
      </c>
    </row>
    <row r="38" spans="1:13" ht="15" customHeight="1" x14ac:dyDescent="0.25">
      <c r="A38" s="52"/>
      <c r="B38" s="43" t="s">
        <v>72</v>
      </c>
      <c r="C38" s="44" t="s">
        <v>109</v>
      </c>
      <c r="D38" s="45">
        <v>0.3611111111111111</v>
      </c>
      <c r="E38" s="45">
        <v>0.43055555555555558</v>
      </c>
      <c r="F38" s="51">
        <f t="shared" si="23"/>
        <v>100</v>
      </c>
      <c r="G38" s="49">
        <f t="shared" si="24"/>
        <v>2</v>
      </c>
      <c r="H38" s="43" t="s">
        <v>75</v>
      </c>
      <c r="I38" s="46" t="s">
        <v>13</v>
      </c>
      <c r="J38" s="46" t="s">
        <v>23</v>
      </c>
      <c r="K38" s="47" t="str">
        <f t="shared" si="25"/>
        <v>100</v>
      </c>
    </row>
    <row r="39" spans="1:13" ht="15" customHeight="1" x14ac:dyDescent="0.25">
      <c r="A39" s="52"/>
      <c r="B39" s="43" t="s">
        <v>72</v>
      </c>
      <c r="C39" s="44" t="s">
        <v>105</v>
      </c>
      <c r="D39" s="45">
        <v>0.3611111111111111</v>
      </c>
      <c r="E39" s="45">
        <v>0.43055555555555558</v>
      </c>
      <c r="F39" s="51">
        <f t="shared" si="23"/>
        <v>100</v>
      </c>
      <c r="G39" s="49">
        <f t="shared" si="24"/>
        <v>2</v>
      </c>
      <c r="H39" s="43" t="s">
        <v>75</v>
      </c>
      <c r="I39" s="46" t="s">
        <v>13</v>
      </c>
      <c r="J39" s="46" t="s">
        <v>23</v>
      </c>
      <c r="K39" s="47" t="str">
        <f t="shared" si="25"/>
        <v>100</v>
      </c>
    </row>
    <row r="40" spans="1:13" ht="15" customHeight="1" x14ac:dyDescent="0.25">
      <c r="A40" s="52"/>
      <c r="B40" s="43" t="s">
        <v>72</v>
      </c>
      <c r="C40" s="44" t="s">
        <v>117</v>
      </c>
      <c r="D40" s="45">
        <v>0.43055555555555558</v>
      </c>
      <c r="E40" s="45">
        <v>0.5</v>
      </c>
      <c r="F40" s="51">
        <f t="shared" si="23"/>
        <v>100</v>
      </c>
      <c r="G40" s="49">
        <f t="shared" si="24"/>
        <v>2</v>
      </c>
      <c r="H40" s="43" t="s">
        <v>75</v>
      </c>
      <c r="I40" s="46" t="s">
        <v>13</v>
      </c>
      <c r="J40" s="46" t="s">
        <v>22</v>
      </c>
      <c r="K40" s="47" t="str">
        <f t="shared" si="25"/>
        <v>100</v>
      </c>
    </row>
    <row r="41" spans="1:13" ht="15" customHeight="1" x14ac:dyDescent="0.25">
      <c r="A41" s="52"/>
      <c r="B41" s="43" t="s">
        <v>72</v>
      </c>
      <c r="C41" s="44" t="s">
        <v>109</v>
      </c>
      <c r="D41" s="45">
        <v>0.43055555555555558</v>
      </c>
      <c r="E41" s="45">
        <v>0.5</v>
      </c>
      <c r="F41" s="51">
        <f t="shared" si="23"/>
        <v>100</v>
      </c>
      <c r="G41" s="49">
        <f t="shared" si="24"/>
        <v>2</v>
      </c>
      <c r="H41" s="43" t="s">
        <v>75</v>
      </c>
      <c r="I41" s="46" t="s">
        <v>13</v>
      </c>
      <c r="J41" s="46" t="s">
        <v>22</v>
      </c>
      <c r="K41" s="47" t="str">
        <f t="shared" si="25"/>
        <v>100</v>
      </c>
    </row>
    <row r="42" spans="1:13" ht="15" customHeight="1" x14ac:dyDescent="0.25">
      <c r="A42" s="57"/>
      <c r="B42" s="43" t="s">
        <v>72</v>
      </c>
      <c r="C42" s="44" t="s">
        <v>105</v>
      </c>
      <c r="D42" s="45">
        <v>0.43055555555555558</v>
      </c>
      <c r="E42" s="45">
        <v>0.5</v>
      </c>
      <c r="F42" s="51">
        <f t="shared" si="23"/>
        <v>100</v>
      </c>
      <c r="G42" s="49">
        <f t="shared" si="24"/>
        <v>2</v>
      </c>
      <c r="H42" s="43" t="s">
        <v>75</v>
      </c>
      <c r="I42" s="46" t="s">
        <v>13</v>
      </c>
      <c r="J42" s="46" t="s">
        <v>22</v>
      </c>
      <c r="K42" s="47" t="str">
        <f t="shared" si="25"/>
        <v>100</v>
      </c>
    </row>
    <row r="43" spans="1:13" ht="15" customHeight="1" x14ac:dyDescent="0.25">
      <c r="A43" s="57"/>
      <c r="B43" s="43" t="s">
        <v>72</v>
      </c>
      <c r="C43" s="44" t="s">
        <v>117</v>
      </c>
      <c r="D43" s="45">
        <v>0.54166666666666663</v>
      </c>
      <c r="E43" s="45">
        <v>0.61111111111111116</v>
      </c>
      <c r="F43" s="51">
        <f t="shared" si="23"/>
        <v>100</v>
      </c>
      <c r="G43" s="49">
        <f t="shared" si="24"/>
        <v>2</v>
      </c>
      <c r="H43" s="43" t="s">
        <v>75</v>
      </c>
      <c r="I43" s="46" t="s">
        <v>13</v>
      </c>
      <c r="J43" s="46" t="s">
        <v>21</v>
      </c>
      <c r="K43" s="47" t="str">
        <f t="shared" si="25"/>
        <v>100</v>
      </c>
    </row>
    <row r="44" spans="1:13" ht="15" customHeight="1" x14ac:dyDescent="0.25">
      <c r="A44" s="57"/>
      <c r="B44" s="43" t="s">
        <v>72</v>
      </c>
      <c r="C44" s="44" t="s">
        <v>109</v>
      </c>
      <c r="D44" s="45">
        <v>0.54166666666666663</v>
      </c>
      <c r="E44" s="45">
        <v>0.61111111111111116</v>
      </c>
      <c r="F44" s="51">
        <f t="shared" si="23"/>
        <v>100</v>
      </c>
      <c r="G44" s="49">
        <f t="shared" si="24"/>
        <v>2</v>
      </c>
      <c r="H44" s="43" t="s">
        <v>75</v>
      </c>
      <c r="I44" s="46" t="s">
        <v>13</v>
      </c>
      <c r="J44" s="46" t="s">
        <v>21</v>
      </c>
      <c r="K44" s="47" t="str">
        <f t="shared" si="25"/>
        <v>100</v>
      </c>
    </row>
    <row r="45" spans="1:13" ht="15" customHeight="1" x14ac:dyDescent="0.25">
      <c r="A45" s="57"/>
      <c r="B45" s="43" t="s">
        <v>72</v>
      </c>
      <c r="C45" s="44" t="s">
        <v>105</v>
      </c>
      <c r="D45" s="45">
        <v>0.54166666666666663</v>
      </c>
      <c r="E45" s="45">
        <v>0.61111111111111116</v>
      </c>
      <c r="F45" s="51">
        <f t="shared" si="23"/>
        <v>100</v>
      </c>
      <c r="G45" s="49">
        <f t="shared" si="24"/>
        <v>2</v>
      </c>
      <c r="H45" s="43" t="s">
        <v>75</v>
      </c>
      <c r="I45" s="46" t="s">
        <v>13</v>
      </c>
      <c r="J45" s="46" t="s">
        <v>21</v>
      </c>
      <c r="K45" s="47" t="str">
        <f t="shared" si="25"/>
        <v>100</v>
      </c>
    </row>
    <row r="46" spans="1:13" ht="15" customHeight="1" x14ac:dyDescent="0.25">
      <c r="A46" s="58"/>
      <c r="B46" s="59"/>
      <c r="C46" s="60"/>
      <c r="D46" s="61"/>
      <c r="E46" s="61"/>
      <c r="F46" s="55"/>
      <c r="G46" s="56"/>
      <c r="H46" s="22"/>
      <c r="I46" s="58"/>
      <c r="J46" s="58"/>
      <c r="K46" s="55"/>
    </row>
    <row r="47" spans="1:13" ht="15" customHeight="1" x14ac:dyDescent="0.25">
      <c r="A47" s="57">
        <v>5</v>
      </c>
      <c r="B47" s="16" t="s">
        <v>115</v>
      </c>
      <c r="C47" s="44" t="s">
        <v>109</v>
      </c>
      <c r="D47" s="45">
        <v>0.54166666666666663</v>
      </c>
      <c r="E47" s="45">
        <v>0.61111111111111105</v>
      </c>
      <c r="F47" s="51">
        <f t="shared" ref="F47" si="26">VALUE(K47)</f>
        <v>100</v>
      </c>
      <c r="G47" s="49">
        <f t="shared" ref="G47" si="27">IF(F47&gt;=300,6,IF(F47&gt;=250,5,IF(F47&gt;=200,4,IF(F47&gt;=150,3,IF(F47&gt;=100,2,IF(F47&gt;=50,1,0))))))</f>
        <v>2</v>
      </c>
      <c r="H47" s="43" t="s">
        <v>48</v>
      </c>
      <c r="I47" s="46" t="s">
        <v>13</v>
      </c>
      <c r="J47" s="46" t="s">
        <v>23</v>
      </c>
      <c r="K47" s="47" t="str">
        <f t="shared" ref="K47" si="28">TEXT(E47-D47,"[mm]")</f>
        <v>100</v>
      </c>
    </row>
    <row r="48" spans="1:13" ht="15" customHeight="1" x14ac:dyDescent="0.25">
      <c r="A48" s="57"/>
      <c r="B48" s="16" t="s">
        <v>115</v>
      </c>
      <c r="C48" s="44" t="s">
        <v>105</v>
      </c>
      <c r="D48" s="45">
        <v>0.54166666666666663</v>
      </c>
      <c r="E48" s="45">
        <v>0.61111111111111105</v>
      </c>
      <c r="F48" s="51">
        <f>VALUE(K48)</f>
        <v>100</v>
      </c>
      <c r="G48" s="49">
        <f>IF(F48&gt;=300,6,IF(F48&gt;=250,5,IF(F48&gt;=200,4,IF(F48&gt;=150,3,IF(F48&gt;=100,2,IF(F48&gt;=50,1,0))))))</f>
        <v>2</v>
      </c>
      <c r="H48" s="43" t="s">
        <v>48</v>
      </c>
      <c r="I48" s="46" t="s">
        <v>13</v>
      </c>
      <c r="J48" s="46" t="s">
        <v>23</v>
      </c>
      <c r="K48" s="47" t="str">
        <f t="shared" ref="K48:K49" si="29">TEXT(E48-D48,"[mm]")</f>
        <v>100</v>
      </c>
    </row>
    <row r="49" spans="1:11" ht="15" customHeight="1" x14ac:dyDescent="0.25">
      <c r="A49" s="57"/>
      <c r="B49" s="16" t="s">
        <v>115</v>
      </c>
      <c r="C49" s="44" t="s">
        <v>105</v>
      </c>
      <c r="D49" s="45">
        <v>0.29166666666666669</v>
      </c>
      <c r="E49" s="45">
        <v>0.43055555555555558</v>
      </c>
      <c r="F49" s="51">
        <f t="shared" ref="F49" si="30">VALUE(K49)</f>
        <v>200</v>
      </c>
      <c r="G49" s="49">
        <f t="shared" ref="G49" si="31">IF(F49&gt;=300,6,IF(F49&gt;=250,5,IF(F49&gt;=200,4,IF(F49&gt;=150,3,IF(F49&gt;=100,2,IF(F49&gt;=50,1,0))))))</f>
        <v>4</v>
      </c>
      <c r="H49" s="43" t="s">
        <v>48</v>
      </c>
      <c r="I49" s="46" t="s">
        <v>13</v>
      </c>
      <c r="J49" s="46" t="s">
        <v>22</v>
      </c>
      <c r="K49" s="47" t="str">
        <f t="shared" si="29"/>
        <v>200</v>
      </c>
    </row>
    <row r="50" spans="1:11" ht="15" customHeight="1" x14ac:dyDescent="0.25">
      <c r="A50" s="57"/>
      <c r="B50" s="16" t="s">
        <v>115</v>
      </c>
      <c r="C50" s="44" t="s">
        <v>107</v>
      </c>
      <c r="D50" s="45">
        <v>0.29166666666666669</v>
      </c>
      <c r="E50" s="45">
        <v>0.43055555555555558</v>
      </c>
      <c r="F50" s="51">
        <f t="shared" ref="F50:F56" si="32">VALUE(K50)</f>
        <v>200</v>
      </c>
      <c r="G50" s="49">
        <f t="shared" ref="G50:G56" si="33">IF(F50&gt;=300,6,IF(F50&gt;=250,5,IF(F50&gt;=200,4,IF(F50&gt;=150,3,IF(F50&gt;=100,2,IF(F50&gt;=50,1,0))))))</f>
        <v>4</v>
      </c>
      <c r="H50" s="43" t="s">
        <v>48</v>
      </c>
      <c r="I50" s="46" t="s">
        <v>13</v>
      </c>
      <c r="J50" s="46" t="s">
        <v>22</v>
      </c>
      <c r="K50" s="47" t="str">
        <f>TEXT(E50-D50,"[mm]")</f>
        <v>200</v>
      </c>
    </row>
    <row r="51" spans="1:11" ht="15" customHeight="1" x14ac:dyDescent="0.25">
      <c r="A51" s="57"/>
      <c r="B51" s="16" t="s">
        <v>115</v>
      </c>
      <c r="C51" s="108" t="s">
        <v>124</v>
      </c>
      <c r="D51" s="109">
        <v>0.61111111111111105</v>
      </c>
      <c r="E51" s="109">
        <v>0.75</v>
      </c>
      <c r="F51" s="100">
        <f t="shared" si="32"/>
        <v>200</v>
      </c>
      <c r="G51" s="110">
        <f t="shared" si="33"/>
        <v>4</v>
      </c>
      <c r="H51" s="111" t="s">
        <v>84</v>
      </c>
      <c r="I51" s="112" t="s">
        <v>13</v>
      </c>
      <c r="J51" s="112" t="s">
        <v>127</v>
      </c>
      <c r="K51" s="13" t="str">
        <f>TEXT(E51-D51,"[mm]")</f>
        <v>200</v>
      </c>
    </row>
    <row r="52" spans="1:11" ht="15" customHeight="1" x14ac:dyDescent="0.25">
      <c r="A52" s="57"/>
      <c r="B52" s="16" t="s">
        <v>115</v>
      </c>
      <c r="C52" s="108" t="s">
        <v>121</v>
      </c>
      <c r="D52" s="109">
        <v>0.61111111111111105</v>
      </c>
      <c r="E52" s="109">
        <v>0.75</v>
      </c>
      <c r="F52" s="100">
        <f t="shared" si="32"/>
        <v>200</v>
      </c>
      <c r="G52" s="110">
        <f t="shared" si="33"/>
        <v>4</v>
      </c>
      <c r="H52" s="111" t="s">
        <v>84</v>
      </c>
      <c r="I52" s="112" t="s">
        <v>13</v>
      </c>
      <c r="J52" s="112" t="s">
        <v>127</v>
      </c>
      <c r="K52" s="13" t="str">
        <f t="shared" ref="K52:K56" si="34">TEXT(E52-D52,"[mm]")</f>
        <v>200</v>
      </c>
    </row>
    <row r="53" spans="1:11" ht="15" customHeight="1" x14ac:dyDescent="0.25">
      <c r="A53" s="57"/>
      <c r="B53" s="16" t="s">
        <v>115</v>
      </c>
      <c r="C53" s="108" t="s">
        <v>125</v>
      </c>
      <c r="D53" s="109">
        <v>0.61111111111111105</v>
      </c>
      <c r="E53" s="109">
        <v>0.75</v>
      </c>
      <c r="F53" s="100">
        <f t="shared" si="32"/>
        <v>200</v>
      </c>
      <c r="G53" s="110">
        <f t="shared" si="33"/>
        <v>4</v>
      </c>
      <c r="H53" s="111" t="s">
        <v>84</v>
      </c>
      <c r="I53" s="112" t="s">
        <v>13</v>
      </c>
      <c r="J53" s="112" t="s">
        <v>127</v>
      </c>
      <c r="K53" s="13" t="str">
        <f t="shared" si="34"/>
        <v>200</v>
      </c>
    </row>
    <row r="54" spans="1:11" ht="15" customHeight="1" x14ac:dyDescent="0.25">
      <c r="A54" s="57"/>
      <c r="B54" s="16" t="s">
        <v>115</v>
      </c>
      <c r="C54" s="108" t="s">
        <v>126</v>
      </c>
      <c r="D54" s="109">
        <v>0.68055555555555547</v>
      </c>
      <c r="E54" s="109">
        <v>0.81944444444444453</v>
      </c>
      <c r="F54" s="100">
        <f t="shared" si="32"/>
        <v>200</v>
      </c>
      <c r="G54" s="110">
        <f t="shared" si="33"/>
        <v>4</v>
      </c>
      <c r="H54" s="111" t="s">
        <v>84</v>
      </c>
      <c r="I54" s="112" t="s">
        <v>13</v>
      </c>
      <c r="J54" s="112" t="s">
        <v>128</v>
      </c>
      <c r="K54" s="13" t="str">
        <f t="shared" si="34"/>
        <v>200</v>
      </c>
    </row>
    <row r="55" spans="1:11" ht="15" customHeight="1" x14ac:dyDescent="0.25">
      <c r="A55" s="57"/>
      <c r="B55" s="16" t="s">
        <v>115</v>
      </c>
      <c r="C55" s="108" t="s">
        <v>122</v>
      </c>
      <c r="D55" s="109">
        <v>0.68055555555555547</v>
      </c>
      <c r="E55" s="109">
        <v>0.81944444444444453</v>
      </c>
      <c r="F55" s="100">
        <f t="shared" si="32"/>
        <v>200</v>
      </c>
      <c r="G55" s="110">
        <f t="shared" si="33"/>
        <v>4</v>
      </c>
      <c r="H55" s="111" t="s">
        <v>84</v>
      </c>
      <c r="I55" s="112" t="s">
        <v>13</v>
      </c>
      <c r="J55" s="112" t="s">
        <v>128</v>
      </c>
      <c r="K55" s="13" t="str">
        <f t="shared" si="34"/>
        <v>200</v>
      </c>
    </row>
    <row r="56" spans="1:11" ht="15" customHeight="1" x14ac:dyDescent="0.25">
      <c r="A56" s="57"/>
      <c r="B56" s="16" t="s">
        <v>115</v>
      </c>
      <c r="C56" s="108" t="s">
        <v>123</v>
      </c>
      <c r="D56" s="109">
        <v>0.68055555555555547</v>
      </c>
      <c r="E56" s="109">
        <v>0.81944444444444453</v>
      </c>
      <c r="F56" s="100">
        <f t="shared" si="32"/>
        <v>200</v>
      </c>
      <c r="G56" s="110">
        <f t="shared" si="33"/>
        <v>4</v>
      </c>
      <c r="H56" s="111" t="s">
        <v>84</v>
      </c>
      <c r="I56" s="112" t="s">
        <v>13</v>
      </c>
      <c r="J56" s="112" t="s">
        <v>128</v>
      </c>
      <c r="K56" s="13" t="str">
        <f t="shared" si="34"/>
        <v>200</v>
      </c>
    </row>
    <row r="57" spans="1:11" ht="15" customHeight="1" x14ac:dyDescent="0.25">
      <c r="A57" s="106"/>
      <c r="B57" s="105"/>
      <c r="C57" s="105"/>
      <c r="D57" s="105"/>
      <c r="E57" s="105"/>
      <c r="F57" s="105"/>
      <c r="G57" s="105"/>
      <c r="H57" s="105"/>
      <c r="I57" s="105"/>
      <c r="J57" s="105"/>
      <c r="K57" s="105"/>
    </row>
    <row r="58" spans="1:11" ht="15" customHeight="1" x14ac:dyDescent="0.25">
      <c r="A58" s="57">
        <v>6</v>
      </c>
      <c r="B58" s="107" t="s">
        <v>130</v>
      </c>
      <c r="C58" s="112" t="s">
        <v>126</v>
      </c>
      <c r="D58" s="109">
        <v>0.54166666666666663</v>
      </c>
      <c r="E58" s="109">
        <v>0.61111111111111105</v>
      </c>
      <c r="F58" s="100">
        <f t="shared" ref="F58:F63" si="35">VALUE(K58)</f>
        <v>100</v>
      </c>
      <c r="G58" s="110">
        <f t="shared" ref="G58:G63" si="36">IF(F58&gt;=300,6,IF(F58&gt;=250,5,IF(F58&gt;=200,4,IF(F58&gt;=150,3,IF(F58&gt;=100,2,IF(F58&gt;=50,1,0))))))</f>
        <v>2</v>
      </c>
      <c r="H58" s="111" t="s">
        <v>131</v>
      </c>
      <c r="I58" s="112" t="s">
        <v>13</v>
      </c>
      <c r="J58" s="112" t="s">
        <v>127</v>
      </c>
      <c r="K58" s="13" t="str">
        <f t="shared" ref="K58:K63" si="37">TEXT(E58-D58,"[mm]")</f>
        <v>100</v>
      </c>
    </row>
    <row r="59" spans="1:11" ht="15" customHeight="1" x14ac:dyDescent="0.25">
      <c r="A59" s="57"/>
      <c r="B59" s="107" t="s">
        <v>130</v>
      </c>
      <c r="C59" s="112" t="s">
        <v>122</v>
      </c>
      <c r="D59" s="109">
        <v>0.54166666666666663</v>
      </c>
      <c r="E59" s="109">
        <v>0.61111111111111105</v>
      </c>
      <c r="F59" s="100">
        <f t="shared" si="35"/>
        <v>100</v>
      </c>
      <c r="G59" s="110">
        <f t="shared" si="36"/>
        <v>2</v>
      </c>
      <c r="H59" s="111" t="s">
        <v>131</v>
      </c>
      <c r="I59" s="112" t="s">
        <v>13</v>
      </c>
      <c r="J59" s="112" t="s">
        <v>127</v>
      </c>
      <c r="K59" s="13" t="str">
        <f t="shared" si="37"/>
        <v>100</v>
      </c>
    </row>
    <row r="60" spans="1:11" ht="15" customHeight="1" x14ac:dyDescent="0.25">
      <c r="A60" s="57"/>
      <c r="B60" s="107" t="s">
        <v>130</v>
      </c>
      <c r="C60" s="112" t="s">
        <v>123</v>
      </c>
      <c r="D60" s="109">
        <v>0.54166666666666663</v>
      </c>
      <c r="E60" s="109">
        <v>0.61111111111111105</v>
      </c>
      <c r="F60" s="100">
        <f t="shared" si="35"/>
        <v>100</v>
      </c>
      <c r="G60" s="110">
        <f t="shared" si="36"/>
        <v>2</v>
      </c>
      <c r="H60" s="111" t="s">
        <v>131</v>
      </c>
      <c r="I60" s="112" t="s">
        <v>13</v>
      </c>
      <c r="J60" s="112" t="s">
        <v>127</v>
      </c>
      <c r="K60" s="13" t="str">
        <f t="shared" si="37"/>
        <v>100</v>
      </c>
    </row>
    <row r="61" spans="1:11" ht="15" customHeight="1" x14ac:dyDescent="0.25">
      <c r="A61" s="57"/>
      <c r="B61" s="107" t="s">
        <v>130</v>
      </c>
      <c r="C61" s="112" t="s">
        <v>126</v>
      </c>
      <c r="D61" s="109">
        <v>0.61111111111111105</v>
      </c>
      <c r="E61" s="109">
        <v>0.68055555555555547</v>
      </c>
      <c r="F61" s="100">
        <f t="shared" si="35"/>
        <v>100</v>
      </c>
      <c r="G61" s="110">
        <f t="shared" si="36"/>
        <v>2</v>
      </c>
      <c r="H61" s="111" t="s">
        <v>131</v>
      </c>
      <c r="I61" s="112" t="s">
        <v>13</v>
      </c>
      <c r="J61" s="112" t="s">
        <v>128</v>
      </c>
      <c r="K61" s="13" t="str">
        <f t="shared" si="37"/>
        <v>100</v>
      </c>
    </row>
    <row r="62" spans="1:11" ht="15" customHeight="1" x14ac:dyDescent="0.25">
      <c r="A62" s="57"/>
      <c r="B62" s="107" t="s">
        <v>130</v>
      </c>
      <c r="C62" s="112" t="s">
        <v>122</v>
      </c>
      <c r="D62" s="109">
        <v>0.61111111111111105</v>
      </c>
      <c r="E62" s="109">
        <v>0.68055555555555547</v>
      </c>
      <c r="F62" s="100">
        <f t="shared" si="35"/>
        <v>100</v>
      </c>
      <c r="G62" s="110">
        <f t="shared" si="36"/>
        <v>2</v>
      </c>
      <c r="H62" s="111" t="s">
        <v>131</v>
      </c>
      <c r="I62" s="112" t="s">
        <v>13</v>
      </c>
      <c r="J62" s="112" t="s">
        <v>128</v>
      </c>
      <c r="K62" s="13" t="str">
        <f t="shared" si="37"/>
        <v>100</v>
      </c>
    </row>
    <row r="63" spans="1:11" ht="15" customHeight="1" x14ac:dyDescent="0.25">
      <c r="A63" s="57"/>
      <c r="B63" s="107" t="s">
        <v>130</v>
      </c>
      <c r="C63" s="112" t="s">
        <v>123</v>
      </c>
      <c r="D63" s="109">
        <v>0.61111111111111105</v>
      </c>
      <c r="E63" s="109">
        <v>0.68055555555555547</v>
      </c>
      <c r="F63" s="100">
        <f t="shared" si="35"/>
        <v>100</v>
      </c>
      <c r="G63" s="110">
        <f t="shared" si="36"/>
        <v>2</v>
      </c>
      <c r="H63" s="111" t="s">
        <v>131</v>
      </c>
      <c r="I63" s="112" t="s">
        <v>13</v>
      </c>
      <c r="J63" s="112" t="s">
        <v>128</v>
      </c>
      <c r="K63" s="13" t="str">
        <f t="shared" si="37"/>
        <v>100</v>
      </c>
    </row>
    <row r="64" spans="1:11" ht="15" customHeight="1" x14ac:dyDescent="0.25">
      <c r="A64" s="58"/>
      <c r="B64" s="59"/>
      <c r="C64" s="60"/>
      <c r="D64" s="61"/>
      <c r="E64" s="61"/>
      <c r="F64" s="55"/>
      <c r="G64" s="56"/>
      <c r="H64" s="22"/>
      <c r="I64" s="58"/>
      <c r="J64" s="58"/>
      <c r="K64" s="55"/>
    </row>
    <row r="65" spans="1:15" ht="15" customHeight="1" x14ac:dyDescent="0.25">
      <c r="A65" s="57">
        <v>7</v>
      </c>
      <c r="B65" s="16" t="s">
        <v>73</v>
      </c>
      <c r="C65" s="44" t="s">
        <v>109</v>
      </c>
      <c r="D65" s="45">
        <v>0.29166666666666669</v>
      </c>
      <c r="E65" s="45">
        <v>0.3611111111111111</v>
      </c>
      <c r="F65" s="51">
        <f t="shared" ref="F65:F73" si="38">VALUE(K65)</f>
        <v>100</v>
      </c>
      <c r="G65" s="49">
        <f t="shared" ref="G65:G73" si="39">IF(F65&gt;=300,6,IF(F65&gt;=250,5,IF(F65&gt;=200,4,IF(F65&gt;=150,3,IF(F65&gt;=100,2,IF(F65&gt;=50,1,0))))))</f>
        <v>2</v>
      </c>
      <c r="H65" s="43" t="s">
        <v>76</v>
      </c>
      <c r="I65" s="46" t="s">
        <v>13</v>
      </c>
      <c r="J65" s="46" t="s">
        <v>18</v>
      </c>
      <c r="K65" s="47" t="str">
        <f t="shared" ref="K65:K73" si="40">TEXT(E65-D65,"[mm]")</f>
        <v>100</v>
      </c>
    </row>
    <row r="66" spans="1:15" ht="15" customHeight="1" x14ac:dyDescent="0.25">
      <c r="A66" s="57"/>
      <c r="B66" s="16" t="s">
        <v>73</v>
      </c>
      <c r="C66" s="44" t="s">
        <v>105</v>
      </c>
      <c r="D66" s="45">
        <v>0.29166666666666669</v>
      </c>
      <c r="E66" s="45">
        <v>0.3611111111111111</v>
      </c>
      <c r="F66" s="51">
        <f t="shared" si="38"/>
        <v>100</v>
      </c>
      <c r="G66" s="49">
        <f t="shared" si="39"/>
        <v>2</v>
      </c>
      <c r="H66" s="43" t="s">
        <v>76</v>
      </c>
      <c r="I66" s="46" t="s">
        <v>13</v>
      </c>
      <c r="J66" s="46" t="s">
        <v>18</v>
      </c>
      <c r="K66" s="47" t="str">
        <f t="shared" si="40"/>
        <v>100</v>
      </c>
    </row>
    <row r="67" spans="1:15" ht="15" customHeight="1" x14ac:dyDescent="0.25">
      <c r="A67" s="57"/>
      <c r="B67" s="16" t="s">
        <v>73</v>
      </c>
      <c r="C67" s="44" t="s">
        <v>106</v>
      </c>
      <c r="D67" s="45">
        <v>0.29166666666666669</v>
      </c>
      <c r="E67" s="45">
        <v>0.3611111111111111</v>
      </c>
      <c r="F67" s="51">
        <f t="shared" si="38"/>
        <v>100</v>
      </c>
      <c r="G67" s="49">
        <f t="shared" si="39"/>
        <v>2</v>
      </c>
      <c r="H67" s="43" t="s">
        <v>76</v>
      </c>
      <c r="I67" s="46" t="s">
        <v>13</v>
      </c>
      <c r="J67" s="46" t="s">
        <v>18</v>
      </c>
      <c r="K67" s="47" t="str">
        <f t="shared" si="40"/>
        <v>100</v>
      </c>
    </row>
    <row r="68" spans="1:15" ht="15" customHeight="1" x14ac:dyDescent="0.25">
      <c r="A68" s="57"/>
      <c r="B68" s="16" t="s">
        <v>73</v>
      </c>
      <c r="C68" s="44" t="s">
        <v>97</v>
      </c>
      <c r="D68" s="45">
        <v>0.29166666666666669</v>
      </c>
      <c r="E68" s="45">
        <v>0.3611111111111111</v>
      </c>
      <c r="F68" s="51">
        <f t="shared" ref="F68:F69" si="41">VALUE(K68)</f>
        <v>100</v>
      </c>
      <c r="G68" s="49">
        <f t="shared" ref="G68:G69" si="42">IF(F68&gt;=300,6,IF(F68&gt;=250,5,IF(F68&gt;=200,4,IF(F68&gt;=150,3,IF(F68&gt;=100,2,IF(F68&gt;=50,1,0))))))</f>
        <v>2</v>
      </c>
      <c r="H68" s="43" t="s">
        <v>76</v>
      </c>
      <c r="I68" s="46" t="s">
        <v>13</v>
      </c>
      <c r="J68" s="46" t="s">
        <v>17</v>
      </c>
      <c r="K68" s="47" t="str">
        <f t="shared" ref="K68:K69" si="43">TEXT(E68-D68,"[mm]")</f>
        <v>100</v>
      </c>
    </row>
    <row r="69" spans="1:15" ht="15" customHeight="1" x14ac:dyDescent="0.25">
      <c r="A69" s="57"/>
      <c r="B69" s="16" t="s">
        <v>73</v>
      </c>
      <c r="C69" s="44" t="s">
        <v>98</v>
      </c>
      <c r="D69" s="45">
        <v>0.29166666666666669</v>
      </c>
      <c r="E69" s="45">
        <v>0.3611111111111111</v>
      </c>
      <c r="F69" s="51">
        <f t="shared" si="41"/>
        <v>100</v>
      </c>
      <c r="G69" s="49">
        <f t="shared" si="42"/>
        <v>2</v>
      </c>
      <c r="H69" s="43" t="s">
        <v>76</v>
      </c>
      <c r="I69" s="46" t="s">
        <v>13</v>
      </c>
      <c r="J69" s="46" t="s">
        <v>17</v>
      </c>
      <c r="K69" s="47" t="str">
        <f t="shared" si="43"/>
        <v>100</v>
      </c>
    </row>
    <row r="70" spans="1:15" ht="15" customHeight="1" x14ac:dyDescent="0.25">
      <c r="A70" s="57"/>
      <c r="B70" s="16" t="s">
        <v>73</v>
      </c>
      <c r="C70" s="44" t="s">
        <v>99</v>
      </c>
      <c r="D70" s="45">
        <v>0.29166666666666669</v>
      </c>
      <c r="E70" s="45">
        <v>0.3611111111111111</v>
      </c>
      <c r="F70" s="51">
        <f t="shared" si="38"/>
        <v>100</v>
      </c>
      <c r="G70" s="49">
        <f t="shared" si="39"/>
        <v>2</v>
      </c>
      <c r="H70" s="43" t="s">
        <v>76</v>
      </c>
      <c r="I70" s="46" t="s">
        <v>13</v>
      </c>
      <c r="J70" s="46" t="s">
        <v>17</v>
      </c>
      <c r="K70" s="47" t="str">
        <f t="shared" si="40"/>
        <v>100</v>
      </c>
      <c r="O70" t="s">
        <v>27</v>
      </c>
    </row>
    <row r="71" spans="1:15" ht="15" customHeight="1" x14ac:dyDescent="0.25">
      <c r="A71" s="57"/>
      <c r="B71" s="16" t="s">
        <v>73</v>
      </c>
      <c r="C71" s="44" t="s">
        <v>109</v>
      </c>
      <c r="D71" s="45">
        <v>0.29166666666666669</v>
      </c>
      <c r="E71" s="45">
        <v>0.3611111111111111</v>
      </c>
      <c r="F71" s="51">
        <f t="shared" si="38"/>
        <v>100</v>
      </c>
      <c r="G71" s="49">
        <f t="shared" si="39"/>
        <v>2</v>
      </c>
      <c r="H71" s="43" t="s">
        <v>76</v>
      </c>
      <c r="I71" s="46" t="s">
        <v>13</v>
      </c>
      <c r="J71" s="46" t="s">
        <v>19</v>
      </c>
      <c r="K71" s="47" t="str">
        <f t="shared" si="40"/>
        <v>100</v>
      </c>
    </row>
    <row r="72" spans="1:15" ht="15" customHeight="1" x14ac:dyDescent="0.25">
      <c r="A72" s="57"/>
      <c r="B72" s="16" t="s">
        <v>73</v>
      </c>
      <c r="C72" s="44" t="s">
        <v>105</v>
      </c>
      <c r="D72" s="45">
        <v>0.29166666666666669</v>
      </c>
      <c r="E72" s="45">
        <v>0.3611111111111111</v>
      </c>
      <c r="F72" s="51">
        <f t="shared" ref="F72" si="44">VALUE(K72)</f>
        <v>100</v>
      </c>
      <c r="G72" s="49">
        <f t="shared" si="39"/>
        <v>2</v>
      </c>
      <c r="H72" s="43" t="s">
        <v>76</v>
      </c>
      <c r="I72" s="46" t="s">
        <v>13</v>
      </c>
      <c r="J72" s="46" t="s">
        <v>19</v>
      </c>
      <c r="K72" s="47" t="str">
        <f t="shared" si="40"/>
        <v>100</v>
      </c>
    </row>
    <row r="73" spans="1:15" ht="15" customHeight="1" x14ac:dyDescent="0.25">
      <c r="A73" s="57"/>
      <c r="B73" s="16" t="s">
        <v>73</v>
      </c>
      <c r="C73" s="44" t="s">
        <v>106</v>
      </c>
      <c r="D73" s="45">
        <v>0.29166666666666669</v>
      </c>
      <c r="E73" s="45">
        <v>0.3611111111111111</v>
      </c>
      <c r="F73" s="51">
        <f t="shared" si="38"/>
        <v>100</v>
      </c>
      <c r="G73" s="49">
        <f t="shared" si="39"/>
        <v>2</v>
      </c>
      <c r="H73" s="43" t="s">
        <v>76</v>
      </c>
      <c r="I73" s="46" t="s">
        <v>13</v>
      </c>
      <c r="J73" s="46" t="s">
        <v>19</v>
      </c>
      <c r="K73" s="47" t="str">
        <f t="shared" si="40"/>
        <v>100</v>
      </c>
    </row>
    <row r="74" spans="1:15" ht="15" customHeight="1" x14ac:dyDescent="0.25">
      <c r="A74" s="58"/>
      <c r="B74" s="54"/>
      <c r="C74" s="54"/>
      <c r="D74" s="54"/>
      <c r="E74" s="54"/>
      <c r="F74" s="55"/>
      <c r="G74" s="56"/>
      <c r="H74" s="54"/>
      <c r="I74" s="54"/>
      <c r="J74" s="54"/>
      <c r="K74" s="55"/>
    </row>
    <row r="75" spans="1:15" ht="15" customHeight="1" x14ac:dyDescent="0.25">
      <c r="A75" s="57">
        <v>8</v>
      </c>
      <c r="B75" s="43" t="s">
        <v>80</v>
      </c>
      <c r="C75" s="44" t="s">
        <v>95</v>
      </c>
      <c r="D75" s="45">
        <v>0.54166666666666663</v>
      </c>
      <c r="E75" s="45">
        <v>0.61111111111111116</v>
      </c>
      <c r="F75" s="51">
        <f t="shared" ref="F75:F81" si="45">VALUE(K75)</f>
        <v>100</v>
      </c>
      <c r="G75" s="49">
        <f t="shared" ref="G75:G81" si="46">IF(F75&gt;=300,6,IF(F75&gt;=250,5,IF(F75&gt;=200,4,IF(F75&gt;=150,3,IF(F75&gt;=100,2,IF(F75&gt;=50,1,0))))))</f>
        <v>2</v>
      </c>
      <c r="H75" s="43" t="s">
        <v>59</v>
      </c>
      <c r="I75" s="46" t="s">
        <v>13</v>
      </c>
      <c r="J75" s="46" t="s">
        <v>17</v>
      </c>
      <c r="K75" s="47" t="str">
        <f t="shared" ref="K75:K81" si="47">TEXT(E75-D75,"[mm]")</f>
        <v>100</v>
      </c>
    </row>
    <row r="76" spans="1:15" ht="15" customHeight="1" x14ac:dyDescent="0.25">
      <c r="A76" s="57"/>
      <c r="B76" s="43" t="s">
        <v>80</v>
      </c>
      <c r="C76" s="44" t="s">
        <v>100</v>
      </c>
      <c r="D76" s="45">
        <v>0.54166666666666663</v>
      </c>
      <c r="E76" s="45">
        <v>0.61111111111111116</v>
      </c>
      <c r="F76" s="51">
        <f t="shared" si="45"/>
        <v>100</v>
      </c>
      <c r="G76" s="49">
        <f t="shared" si="46"/>
        <v>2</v>
      </c>
      <c r="H76" s="43" t="s">
        <v>59</v>
      </c>
      <c r="I76" s="46" t="s">
        <v>13</v>
      </c>
      <c r="J76" s="46" t="s">
        <v>17</v>
      </c>
      <c r="K76" s="47" t="str">
        <f t="shared" si="47"/>
        <v>100</v>
      </c>
    </row>
    <row r="77" spans="1:15" ht="15" customHeight="1" x14ac:dyDescent="0.25">
      <c r="A77" s="57"/>
      <c r="B77" s="43" t="s">
        <v>80</v>
      </c>
      <c r="C77" s="44" t="s">
        <v>96</v>
      </c>
      <c r="D77" s="45">
        <v>0.54166666666666663</v>
      </c>
      <c r="E77" s="45">
        <v>0.61111111111111116</v>
      </c>
      <c r="F77" s="51">
        <f t="shared" si="45"/>
        <v>100</v>
      </c>
      <c r="G77" s="49">
        <f t="shared" si="46"/>
        <v>2</v>
      </c>
      <c r="H77" s="43" t="s">
        <v>59</v>
      </c>
      <c r="I77" s="46" t="s">
        <v>13</v>
      </c>
      <c r="J77" s="46" t="s">
        <v>17</v>
      </c>
      <c r="K77" s="47" t="str">
        <f t="shared" si="47"/>
        <v>100</v>
      </c>
    </row>
    <row r="78" spans="1:15" ht="15" customHeight="1" x14ac:dyDescent="0.25">
      <c r="A78" s="57"/>
      <c r="B78" s="43" t="s">
        <v>80</v>
      </c>
      <c r="C78" s="44" t="s">
        <v>93</v>
      </c>
      <c r="D78" s="45">
        <v>0.3611111111111111</v>
      </c>
      <c r="E78" s="45">
        <v>0.43055555555555558</v>
      </c>
      <c r="F78" s="51">
        <f t="shared" si="45"/>
        <v>100</v>
      </c>
      <c r="G78" s="49">
        <f t="shared" si="46"/>
        <v>2</v>
      </c>
      <c r="H78" s="43" t="s">
        <v>59</v>
      </c>
      <c r="I78" s="46" t="s">
        <v>13</v>
      </c>
      <c r="J78" s="46" t="s">
        <v>18</v>
      </c>
      <c r="K78" s="47" t="str">
        <f t="shared" si="47"/>
        <v>100</v>
      </c>
    </row>
    <row r="79" spans="1:15" ht="15" customHeight="1" x14ac:dyDescent="0.25">
      <c r="A79" s="57"/>
      <c r="B79" s="43" t="s">
        <v>80</v>
      </c>
      <c r="C79" s="44" t="s">
        <v>101</v>
      </c>
      <c r="D79" s="45">
        <v>0.3611111111111111</v>
      </c>
      <c r="E79" s="45">
        <v>0.43055555555555558</v>
      </c>
      <c r="F79" s="51">
        <f t="shared" ref="F79:F80" si="48">VALUE(K79)</f>
        <v>100</v>
      </c>
      <c r="G79" s="49">
        <f t="shared" ref="G79:G80" si="49">IF(F79&gt;=300,6,IF(F79&gt;=250,5,IF(F79&gt;=200,4,IF(F79&gt;=150,3,IF(F79&gt;=100,2,IF(F79&gt;=50,1,0))))))</f>
        <v>2</v>
      </c>
      <c r="H79" s="43" t="s">
        <v>59</v>
      </c>
      <c r="I79" s="46" t="s">
        <v>13</v>
      </c>
      <c r="J79" s="46" t="s">
        <v>18</v>
      </c>
      <c r="K79" s="47" t="str">
        <f t="shared" ref="K79:K80" si="50">TEXT(E79-D79,"[mm]")</f>
        <v>100</v>
      </c>
    </row>
    <row r="80" spans="1:15" ht="15" customHeight="1" x14ac:dyDescent="0.25">
      <c r="A80" s="57"/>
      <c r="B80" s="43" t="s">
        <v>80</v>
      </c>
      <c r="C80" s="44" t="s">
        <v>102</v>
      </c>
      <c r="D80" s="45">
        <v>0.3611111111111111</v>
      </c>
      <c r="E80" s="45">
        <v>0.43055555555555558</v>
      </c>
      <c r="F80" s="51">
        <f t="shared" si="48"/>
        <v>100</v>
      </c>
      <c r="G80" s="49">
        <f t="shared" si="49"/>
        <v>2</v>
      </c>
      <c r="H80" s="43" t="s">
        <v>59</v>
      </c>
      <c r="I80" s="46" t="s">
        <v>13</v>
      </c>
      <c r="J80" s="46" t="s">
        <v>18</v>
      </c>
      <c r="K80" s="47" t="str">
        <f t="shared" si="50"/>
        <v>100</v>
      </c>
    </row>
    <row r="81" spans="1:13" ht="15" customHeight="1" x14ac:dyDescent="0.25">
      <c r="A81" s="57"/>
      <c r="B81" s="43" t="s">
        <v>80</v>
      </c>
      <c r="C81" s="44" t="s">
        <v>93</v>
      </c>
      <c r="D81" s="45">
        <v>0.43055555555555558</v>
      </c>
      <c r="E81" s="45">
        <v>0.5</v>
      </c>
      <c r="F81" s="51">
        <f t="shared" si="45"/>
        <v>100</v>
      </c>
      <c r="G81" s="49">
        <f t="shared" si="46"/>
        <v>2</v>
      </c>
      <c r="H81" s="43" t="s">
        <v>59</v>
      </c>
      <c r="I81" s="46" t="s">
        <v>13</v>
      </c>
      <c r="J81" s="46" t="s">
        <v>19</v>
      </c>
      <c r="K81" s="47" t="str">
        <f t="shared" si="47"/>
        <v>100</v>
      </c>
    </row>
    <row r="82" spans="1:13" ht="15" customHeight="1" x14ac:dyDescent="0.25">
      <c r="A82" s="57"/>
      <c r="B82" s="43" t="s">
        <v>80</v>
      </c>
      <c r="C82" s="44" t="s">
        <v>101</v>
      </c>
      <c r="D82" s="45">
        <v>0.43055555555555558</v>
      </c>
      <c r="E82" s="45">
        <v>0.5</v>
      </c>
      <c r="F82" s="51">
        <f>VALUE(K82)</f>
        <v>100</v>
      </c>
      <c r="G82" s="49">
        <f>IF(F82&gt;=300,6,IF(F82&gt;=250,5,IF(F82&gt;=200,4,IF(F82&gt;=150,3,IF(F82&gt;=100,2,IF(F82&gt;=50,1,0))))))</f>
        <v>2</v>
      </c>
      <c r="H82" s="43" t="s">
        <v>59</v>
      </c>
      <c r="I82" s="46" t="s">
        <v>13</v>
      </c>
      <c r="J82" s="46" t="s">
        <v>19</v>
      </c>
      <c r="K82" s="47" t="str">
        <f>TEXT(E82-D82,"[mm]")</f>
        <v>100</v>
      </c>
    </row>
    <row r="83" spans="1:13" ht="15" customHeight="1" x14ac:dyDescent="0.25">
      <c r="A83" s="57"/>
      <c r="B83" s="43" t="s">
        <v>80</v>
      </c>
      <c r="C83" s="44" t="s">
        <v>102</v>
      </c>
      <c r="D83" s="45">
        <v>0.43055555555555558</v>
      </c>
      <c r="E83" s="45">
        <v>0.5</v>
      </c>
      <c r="F83" s="51">
        <f>VALUE(K83)</f>
        <v>100</v>
      </c>
      <c r="G83" s="49">
        <f>IF(F83&gt;=300,6,IF(F83&gt;=250,5,IF(F83&gt;=200,4,IF(F83&gt;=150,3,IF(F83&gt;=100,2,IF(F83&gt;=50,1,0))))))</f>
        <v>2</v>
      </c>
      <c r="H83" s="43" t="s">
        <v>59</v>
      </c>
      <c r="I83" s="46" t="s">
        <v>13</v>
      </c>
      <c r="J83" s="46" t="s">
        <v>19</v>
      </c>
      <c r="K83" s="47" t="str">
        <f>TEXT(E83-D83,"[mm]")</f>
        <v>100</v>
      </c>
    </row>
    <row r="84" spans="1:13" ht="15" customHeight="1" x14ac:dyDescent="0.25">
      <c r="A84" s="58"/>
      <c r="B84" s="59"/>
      <c r="C84" s="60"/>
      <c r="D84" s="61"/>
      <c r="E84" s="61"/>
      <c r="F84" s="55"/>
      <c r="G84" s="56"/>
      <c r="H84" s="22"/>
      <c r="I84" s="58"/>
      <c r="J84" s="58"/>
      <c r="K84" s="55"/>
    </row>
    <row r="85" spans="1:13" x14ac:dyDescent="0.25">
      <c r="A85" s="155">
        <v>9</v>
      </c>
      <c r="B85" s="43" t="s">
        <v>113</v>
      </c>
      <c r="C85" s="44" t="s">
        <v>102</v>
      </c>
      <c r="D85" s="45">
        <v>0.3611111111111111</v>
      </c>
      <c r="E85" s="45">
        <v>0.43055555555555558</v>
      </c>
      <c r="F85" s="51">
        <f t="shared" ref="F85" si="51">VALUE(K85)</f>
        <v>100</v>
      </c>
      <c r="G85" s="49">
        <f t="shared" ref="G85" si="52">IF(F85&gt;=300,6,IF(F85&gt;=250,5,IF(F85&gt;=200,4,IF(F85&gt;=150,3,IF(F85&gt;=100,2,IF(F85&gt;=50,1,0))))))</f>
        <v>2</v>
      </c>
      <c r="H85" s="43" t="s">
        <v>59</v>
      </c>
      <c r="I85" s="46" t="s">
        <v>13</v>
      </c>
      <c r="J85" s="46" t="s">
        <v>17</v>
      </c>
      <c r="K85" s="47" t="str">
        <f>TEXT(E85-D85,"[mm]")</f>
        <v>100</v>
      </c>
      <c r="M85" t="s">
        <v>27</v>
      </c>
    </row>
    <row r="86" spans="1:13" x14ac:dyDescent="0.25">
      <c r="A86" s="156"/>
      <c r="B86" s="43" t="s">
        <v>113</v>
      </c>
      <c r="C86" s="44" t="s">
        <v>102</v>
      </c>
      <c r="D86" s="45">
        <v>0.43055555555555558</v>
      </c>
      <c r="E86" s="45">
        <v>0.5</v>
      </c>
      <c r="F86" s="51">
        <f t="shared" ref="F86:F87" si="53">VALUE(K86)</f>
        <v>100</v>
      </c>
      <c r="G86" s="49">
        <f t="shared" ref="G86:G87" si="54">IF(F86&gt;=300,6,IF(F86&gt;=250,5,IF(F86&gt;=200,4,IF(F86&gt;=150,3,IF(F86&gt;=100,2,IF(F86&gt;=50,1,0))))))</f>
        <v>2</v>
      </c>
      <c r="H86" s="43" t="s">
        <v>59</v>
      </c>
      <c r="I86" s="46" t="s">
        <v>13</v>
      </c>
      <c r="J86" s="46" t="s">
        <v>18</v>
      </c>
      <c r="K86" s="47" t="str">
        <f>TEXT(E86-D86,"[mm]")</f>
        <v>100</v>
      </c>
      <c r="M86" t="s">
        <v>27</v>
      </c>
    </row>
    <row r="87" spans="1:13" x14ac:dyDescent="0.25">
      <c r="A87" s="157"/>
      <c r="B87" s="43" t="s">
        <v>113</v>
      </c>
      <c r="C87" s="44" t="s">
        <v>102</v>
      </c>
      <c r="D87" s="45">
        <v>0.54166666666666663</v>
      </c>
      <c r="E87" s="45">
        <v>0.61111111111111116</v>
      </c>
      <c r="F87" s="51">
        <f t="shared" si="53"/>
        <v>100</v>
      </c>
      <c r="G87" s="49">
        <f t="shared" si="54"/>
        <v>2</v>
      </c>
      <c r="H87" s="43" t="s">
        <v>59</v>
      </c>
      <c r="I87" s="46" t="s">
        <v>13</v>
      </c>
      <c r="J87" s="46" t="s">
        <v>19</v>
      </c>
      <c r="K87" s="47" t="str">
        <f>TEXT(E87-D87,"[mm]")</f>
        <v>100</v>
      </c>
      <c r="M87" t="s">
        <v>27</v>
      </c>
    </row>
    <row r="88" spans="1:13" x14ac:dyDescent="0.25">
      <c r="A88" s="36"/>
      <c r="B88" s="36"/>
      <c r="C88" s="37"/>
      <c r="D88" s="38"/>
      <c r="E88" s="38"/>
      <c r="F88" s="19"/>
      <c r="G88" s="20"/>
      <c r="H88" s="39"/>
      <c r="I88" s="40"/>
      <c r="J88" s="40"/>
      <c r="K88" s="19"/>
    </row>
    <row r="89" spans="1:13" x14ac:dyDescent="0.25">
      <c r="A89" s="36"/>
      <c r="B89" s="36"/>
      <c r="C89" s="40"/>
      <c r="D89" s="36"/>
      <c r="E89" s="36"/>
      <c r="F89" s="41"/>
      <c r="G89" s="36"/>
      <c r="H89" s="42" t="s">
        <v>132</v>
      </c>
      <c r="I89" s="36"/>
      <c r="J89" s="40"/>
      <c r="K89" s="36"/>
    </row>
    <row r="90" spans="1:13" x14ac:dyDescent="0.25">
      <c r="A90" s="36"/>
      <c r="B90" s="36" t="s">
        <v>27</v>
      </c>
      <c r="C90" s="40" t="s">
        <v>27</v>
      </c>
      <c r="D90" s="36"/>
      <c r="E90" s="36"/>
      <c r="F90" s="41"/>
      <c r="G90" s="36"/>
      <c r="H90" s="42" t="s">
        <v>78</v>
      </c>
      <c r="I90" s="36"/>
      <c r="J90" s="40"/>
      <c r="K90" s="36"/>
    </row>
    <row r="91" spans="1:13" x14ac:dyDescent="0.25">
      <c r="A91" s="36"/>
      <c r="B91" s="36"/>
      <c r="C91" s="40"/>
      <c r="D91" s="36"/>
      <c r="E91" s="36"/>
      <c r="F91" s="41"/>
      <c r="G91" s="36"/>
      <c r="H91" s="42"/>
      <c r="I91" s="36"/>
      <c r="J91" s="40"/>
      <c r="K91" s="36"/>
    </row>
    <row r="92" spans="1:13" x14ac:dyDescent="0.25">
      <c r="A92" s="36"/>
      <c r="B92" s="36"/>
      <c r="C92" s="40"/>
      <c r="D92" s="36"/>
      <c r="E92" s="36"/>
      <c r="F92" s="41"/>
      <c r="G92" s="36"/>
      <c r="H92" s="42"/>
      <c r="I92" s="36"/>
      <c r="J92" s="40"/>
      <c r="K92" s="36"/>
    </row>
    <row r="93" spans="1:13" x14ac:dyDescent="0.25">
      <c r="A93" s="36"/>
      <c r="B93" s="36"/>
      <c r="C93" s="40"/>
      <c r="D93" s="36"/>
      <c r="E93" s="36"/>
      <c r="F93" s="41"/>
      <c r="G93" s="36"/>
      <c r="H93" s="42"/>
      <c r="I93" s="36"/>
      <c r="J93" s="40"/>
      <c r="K93" s="36"/>
    </row>
    <row r="94" spans="1:13" x14ac:dyDescent="0.25">
      <c r="A94" s="36"/>
      <c r="B94" s="36"/>
      <c r="C94" s="40"/>
      <c r="D94" s="36"/>
      <c r="E94" s="36"/>
      <c r="F94" s="41"/>
      <c r="G94" s="36"/>
      <c r="H94" s="42" t="s">
        <v>79</v>
      </c>
      <c r="I94" s="36"/>
      <c r="J94" s="40"/>
      <c r="K94" s="36"/>
    </row>
    <row r="95" spans="1:13" x14ac:dyDescent="0.25">
      <c r="A95" s="36"/>
      <c r="B95" s="36"/>
      <c r="C95" s="40"/>
      <c r="D95" s="36"/>
      <c r="E95" s="36"/>
      <c r="F95" s="41"/>
      <c r="G95" s="36"/>
      <c r="H95" s="40" t="s">
        <v>92</v>
      </c>
      <c r="I95" s="36"/>
      <c r="J95" s="40"/>
      <c r="K95" s="36"/>
    </row>
    <row r="1048405" spans="4:4" x14ac:dyDescent="0.25">
      <c r="D1048405" s="13">
        <v>0.5</v>
      </c>
    </row>
  </sheetData>
  <sortState ref="B37:K41">
    <sortCondition ref="J37:J41"/>
  </sortState>
  <mergeCells count="13">
    <mergeCell ref="A85:A87"/>
    <mergeCell ref="K5:K6"/>
    <mergeCell ref="J5:J6"/>
    <mergeCell ref="A1:J1"/>
    <mergeCell ref="A2:J2"/>
    <mergeCell ref="A3:J3"/>
    <mergeCell ref="A5:A6"/>
    <mergeCell ref="B5:B6"/>
    <mergeCell ref="C5:C6"/>
    <mergeCell ref="F5:F6"/>
    <mergeCell ref="G5:G6"/>
    <mergeCell ref="H5:H6"/>
    <mergeCell ref="I5:I6"/>
  </mergeCells>
  <phoneticPr fontId="6" type="noConversion"/>
  <conditionalFormatting sqref="I1:I5 I89:I1048576">
    <cfRule type="containsText" dxfId="1" priority="5" operator="containsText" text="Prakt.">
      <formula>NOT(ISERROR(SEARCH("Prakt.",I1)))</formula>
    </cfRule>
  </conditionalFormatting>
  <conditionalFormatting sqref="I49:I56">
    <cfRule type="containsText" dxfId="0" priority="1" operator="containsText" text="Prakt.">
      <formula>NOT(ISERROR(SEARCH("Prakt.",I49)))</formula>
    </cfRule>
  </conditionalFormatting>
  <pageMargins left="0.2" right="0.2" top="0.37" bottom="0.4" header="0.3" footer="0.3"/>
  <pageSetup scale="7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Tetap</vt:lpstr>
      <vt:lpstr>Luar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2026-06-10T10:47:10Z</cp:lastPrinted>
  <dcterms:created xsi:type="dcterms:W3CDTF">2025-12-31T03:15:32Z</dcterms:created>
  <dcterms:modified xsi:type="dcterms:W3CDTF">2026-06-10T10:50:35Z</dcterms:modified>
</cp:coreProperties>
</file>